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arijat data\New folder\SOC data\"/>
    </mc:Choice>
  </mc:AlternateContent>
  <bookViews>
    <workbookView xWindow="0" yWindow="0" windowWidth="20490" windowHeight="7755" activeTab="2"/>
  </bookViews>
  <sheets>
    <sheet name="Sheet1" sheetId="1" r:id="rId1"/>
    <sheet name="Old" sheetId="2" r:id="rId2"/>
    <sheet name="Final" sheetId="3" r:id="rId3"/>
    <sheet name="DATA" sheetId="5" r:id="rId4"/>
    <sheet name="Cash_Paid" sheetId="4" r:id="rId5"/>
  </sheets>
  <definedNames>
    <definedName name="_xlnm._FilterDatabase" localSheetId="4" hidden="1">Cash_Paid!$A$2:$C$63</definedName>
    <definedName name="_xlnm._FilterDatabase" localSheetId="2" hidden="1">Final!$A$2:$P$124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5" i="5" l="1"/>
  <c r="F125" i="5" s="1"/>
  <c r="N123" i="5"/>
  <c r="M123" i="5"/>
  <c r="L123" i="5"/>
  <c r="K123" i="5"/>
  <c r="J123" i="5"/>
  <c r="I123" i="5"/>
  <c r="H123" i="5"/>
  <c r="D123" i="5"/>
  <c r="D124" i="5" s="1"/>
  <c r="C123" i="5"/>
  <c r="G122" i="5"/>
  <c r="G121" i="5"/>
  <c r="G119" i="5"/>
  <c r="G118" i="5"/>
  <c r="G117" i="5"/>
  <c r="G115" i="5"/>
  <c r="G123" i="5" s="1"/>
  <c r="G114" i="5"/>
  <c r="G113" i="5"/>
  <c r="G111" i="5"/>
  <c r="G110" i="5"/>
  <c r="G109" i="5"/>
  <c r="G107" i="5"/>
  <c r="G106" i="5"/>
  <c r="G105" i="5"/>
  <c r="G103" i="5"/>
  <c r="G102" i="5"/>
  <c r="G101" i="5"/>
  <c r="G99" i="5"/>
  <c r="G98" i="5"/>
  <c r="G97" i="5"/>
  <c r="G95" i="5"/>
  <c r="G94" i="5"/>
  <c r="G93" i="5"/>
  <c r="G91" i="5"/>
  <c r="G90" i="5"/>
  <c r="G89" i="5"/>
  <c r="G87" i="5"/>
  <c r="G86" i="5"/>
  <c r="G85" i="5"/>
  <c r="G83" i="5"/>
  <c r="G82" i="5"/>
  <c r="G81" i="5"/>
  <c r="G79" i="5"/>
  <c r="G78" i="5"/>
  <c r="G77" i="5"/>
  <c r="G75" i="5"/>
  <c r="G74" i="5"/>
  <c r="G73" i="5"/>
  <c r="G71" i="5"/>
  <c r="G70" i="5"/>
  <c r="G69" i="5"/>
  <c r="G67" i="5"/>
  <c r="G66" i="5"/>
  <c r="G65" i="5"/>
  <c r="G63" i="5"/>
  <c r="G62" i="5"/>
  <c r="G61" i="5"/>
  <c r="G59" i="5"/>
  <c r="G58" i="5"/>
  <c r="G57" i="5"/>
  <c r="G55" i="5"/>
  <c r="G54" i="5"/>
  <c r="G53" i="5"/>
  <c r="G51" i="5"/>
  <c r="G50" i="5"/>
  <c r="G49" i="5"/>
  <c r="G47" i="5"/>
  <c r="G46" i="5"/>
  <c r="G45" i="5"/>
  <c r="G43" i="5"/>
  <c r="G42" i="5"/>
  <c r="G41" i="5"/>
  <c r="G39" i="5"/>
  <c r="G38" i="5"/>
  <c r="G37" i="5"/>
  <c r="G35" i="5"/>
  <c r="G34" i="5"/>
  <c r="G33" i="5"/>
  <c r="G31" i="5"/>
  <c r="G30" i="5"/>
  <c r="G29" i="5"/>
  <c r="G27" i="5"/>
  <c r="G26" i="5"/>
  <c r="G25" i="5"/>
  <c r="G23" i="5"/>
  <c r="G22" i="5"/>
  <c r="N21" i="5"/>
  <c r="M21" i="5"/>
  <c r="L21" i="5"/>
  <c r="K21" i="5"/>
  <c r="G21" i="5" s="1"/>
  <c r="J21" i="5"/>
  <c r="I21" i="5"/>
  <c r="H21" i="5"/>
  <c r="G19" i="5"/>
  <c r="G18" i="5"/>
  <c r="N17" i="5"/>
  <c r="M17" i="5"/>
  <c r="L17" i="5"/>
  <c r="K17" i="5"/>
  <c r="J17" i="5"/>
  <c r="G17" i="5" s="1"/>
  <c r="I17" i="5"/>
  <c r="H17" i="5"/>
  <c r="G15" i="5"/>
  <c r="G14" i="5"/>
  <c r="N13" i="5"/>
  <c r="M13" i="5"/>
  <c r="L13" i="5"/>
  <c r="K13" i="5"/>
  <c r="J13" i="5"/>
  <c r="I13" i="5"/>
  <c r="G13" i="5" s="1"/>
  <c r="H13" i="5"/>
  <c r="G11" i="5"/>
  <c r="G10" i="5"/>
  <c r="N9" i="5"/>
  <c r="M9" i="5"/>
  <c r="L9" i="5"/>
  <c r="G9" i="5" s="1"/>
  <c r="I9" i="5"/>
  <c r="H9" i="5"/>
  <c r="G7" i="5"/>
  <c r="G6" i="5"/>
  <c r="N5" i="5"/>
  <c r="M5" i="5"/>
  <c r="L5" i="5"/>
  <c r="J5" i="5"/>
  <c r="I5" i="5"/>
  <c r="H5" i="5"/>
  <c r="G5" i="5" s="1"/>
  <c r="G3" i="5"/>
  <c r="O2" i="5"/>
  <c r="F15" i="5" s="1"/>
  <c r="O2" i="3"/>
  <c r="F11" i="5" l="1"/>
  <c r="F3" i="5"/>
  <c r="F23" i="5"/>
  <c r="F31" i="5"/>
  <c r="F43" i="5"/>
  <c r="F55" i="5"/>
  <c r="F63" i="5"/>
  <c r="F71" i="5"/>
  <c r="F79" i="5"/>
  <c r="F91" i="5"/>
  <c r="F99" i="5"/>
  <c r="F107" i="5"/>
  <c r="F115" i="5"/>
  <c r="F119" i="5"/>
  <c r="F27" i="5"/>
  <c r="F35" i="5"/>
  <c r="F39" i="5"/>
  <c r="F47" i="5"/>
  <c r="F51" i="5"/>
  <c r="F59" i="5"/>
  <c r="F67" i="5"/>
  <c r="F75" i="5"/>
  <c r="F83" i="5"/>
  <c r="F87" i="5"/>
  <c r="F95" i="5"/>
  <c r="F103" i="5"/>
  <c r="F111" i="5"/>
  <c r="F19" i="5"/>
  <c r="F7" i="5"/>
  <c r="E125" i="3"/>
  <c r="F125" i="3" s="1"/>
  <c r="C123" i="3"/>
  <c r="D123" i="3"/>
  <c r="D124" i="3" s="1"/>
  <c r="N123" i="3"/>
  <c r="M123" i="3"/>
  <c r="K123" i="3"/>
  <c r="J123" i="3"/>
  <c r="I123" i="3"/>
  <c r="H123" i="3"/>
  <c r="L123" i="3"/>
  <c r="G122" i="3" l="1"/>
  <c r="G118" i="3"/>
  <c r="G114" i="3"/>
  <c r="G110" i="3"/>
  <c r="G106" i="3"/>
  <c r="G102" i="3"/>
  <c r="G98" i="3"/>
  <c r="G94" i="3"/>
  <c r="G90" i="3"/>
  <c r="G86" i="3"/>
  <c r="G82" i="3"/>
  <c r="G78" i="3"/>
  <c r="G74" i="3"/>
  <c r="G70" i="3"/>
  <c r="G66" i="3"/>
  <c r="G62" i="3"/>
  <c r="G58" i="3"/>
  <c r="G54" i="3"/>
  <c r="G50" i="3"/>
  <c r="G46" i="3"/>
  <c r="G42" i="3"/>
  <c r="G38" i="3"/>
  <c r="G34" i="3"/>
  <c r="G30" i="3"/>
  <c r="G26" i="3"/>
  <c r="G22" i="3"/>
  <c r="G18" i="3"/>
  <c r="G14" i="3"/>
  <c r="G10" i="3"/>
  <c r="G6" i="3"/>
  <c r="K21" i="3"/>
  <c r="G57" i="3"/>
  <c r="G119" i="3"/>
  <c r="G115" i="3"/>
  <c r="G111" i="3"/>
  <c r="G107" i="3"/>
  <c r="G103" i="3"/>
  <c r="G99" i="3"/>
  <c r="G95" i="3"/>
  <c r="G91" i="3"/>
  <c r="G87" i="3"/>
  <c r="G83" i="3"/>
  <c r="G79" i="3"/>
  <c r="G75" i="3"/>
  <c r="G71" i="3"/>
  <c r="G67" i="3"/>
  <c r="G63" i="3"/>
  <c r="G59" i="3"/>
  <c r="G55" i="3"/>
  <c r="G51" i="3"/>
  <c r="G47" i="3"/>
  <c r="G43" i="3"/>
  <c r="G39" i="3"/>
  <c r="G35" i="3"/>
  <c r="G31" i="3"/>
  <c r="G27" i="3"/>
  <c r="G23" i="3"/>
  <c r="G19" i="3"/>
  <c r="G15" i="3"/>
  <c r="G11" i="3"/>
  <c r="G7" i="3"/>
  <c r="G3" i="3"/>
  <c r="G121" i="3"/>
  <c r="G117" i="3"/>
  <c r="G109" i="3"/>
  <c r="G105" i="3"/>
  <c r="G97" i="3"/>
  <c r="G93" i="3"/>
  <c r="G89" i="3"/>
  <c r="G85" i="3"/>
  <c r="G81" i="3"/>
  <c r="G73" i="3"/>
  <c r="G69" i="3"/>
  <c r="G65" i="3"/>
  <c r="G61" i="3"/>
  <c r="G53" i="3"/>
  <c r="G49" i="3"/>
  <c r="G45" i="3"/>
  <c r="G41" i="3"/>
  <c r="G33" i="3"/>
  <c r="G29" i="3"/>
  <c r="G25" i="3"/>
  <c r="N21" i="3"/>
  <c r="M21" i="3"/>
  <c r="J21" i="3"/>
  <c r="I21" i="3"/>
  <c r="H21" i="3"/>
  <c r="N17" i="3"/>
  <c r="M17" i="3"/>
  <c r="L17" i="3"/>
  <c r="K17" i="3"/>
  <c r="J17" i="3"/>
  <c r="I17" i="3"/>
  <c r="H17" i="3"/>
  <c r="N13" i="3"/>
  <c r="M13" i="3"/>
  <c r="K13" i="3"/>
  <c r="J13" i="3"/>
  <c r="I13" i="3"/>
  <c r="H13" i="3"/>
  <c r="N9" i="3"/>
  <c r="M9" i="3"/>
  <c r="L9" i="3"/>
  <c r="I9" i="3"/>
  <c r="H9" i="3"/>
  <c r="N5" i="3"/>
  <c r="M5" i="3"/>
  <c r="L5" i="3"/>
  <c r="J5" i="3"/>
  <c r="I5" i="3"/>
  <c r="H5" i="3"/>
  <c r="G123" i="3" l="1"/>
  <c r="F63" i="3"/>
  <c r="F79" i="3"/>
  <c r="F67" i="3"/>
  <c r="F39" i="3"/>
  <c r="F55" i="3"/>
  <c r="F115" i="3"/>
  <c r="F43" i="3"/>
  <c r="F91" i="3"/>
  <c r="F107" i="3"/>
  <c r="F47" i="3"/>
  <c r="F95" i="3"/>
  <c r="F83" i="3"/>
  <c r="F71" i="3"/>
  <c r="F87" i="3"/>
  <c r="F103" i="3"/>
  <c r="F119" i="3"/>
  <c r="F27" i="3"/>
  <c r="F59" i="3"/>
  <c r="F31" i="3"/>
  <c r="F51" i="3"/>
  <c r="F23" i="3"/>
  <c r="G5" i="3"/>
  <c r="F3" i="3" s="1"/>
  <c r="G13" i="3"/>
  <c r="F11" i="3" s="1"/>
  <c r="G21" i="3"/>
  <c r="F19" i="3" s="1"/>
  <c r="G9" i="3"/>
  <c r="F7" i="3" s="1"/>
  <c r="G101" i="3"/>
  <c r="F99" i="3" s="1"/>
  <c r="G17" i="3"/>
  <c r="F15" i="3" s="1"/>
  <c r="G113" i="3"/>
  <c r="F111" i="3" s="1"/>
  <c r="G37" i="3"/>
  <c r="F35" i="3" s="1"/>
  <c r="G77" i="3"/>
  <c r="F75" i="3" s="1"/>
  <c r="O36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M3" i="2" s="1"/>
  <c r="N2" i="2"/>
  <c r="M2" i="2" s="1"/>
  <c r="F5" i="1" l="1"/>
  <c r="P2" i="1" l="1"/>
  <c r="H6" i="1" l="1"/>
  <c r="I6" i="1"/>
  <c r="J6" i="1"/>
  <c r="K6" i="1"/>
  <c r="C5" i="1"/>
  <c r="C6" i="1" s="1"/>
  <c r="D5" i="1"/>
  <c r="D6" i="1" s="1"/>
  <c r="E5" i="1"/>
  <c r="E6" i="1" s="1"/>
  <c r="F6" i="1"/>
  <c r="G5" i="1"/>
  <c r="G6" i="1" s="1"/>
  <c r="H5" i="1"/>
  <c r="I5" i="1"/>
  <c r="J5" i="1"/>
  <c r="K5" i="1"/>
  <c r="L2" i="1"/>
  <c r="B5" i="1"/>
  <c r="L4" i="1"/>
  <c r="L3" i="1"/>
  <c r="L5" i="1" l="1"/>
  <c r="L6" i="1" s="1"/>
  <c r="B6" i="1"/>
</calcChain>
</file>

<file path=xl/comments1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charset val="1"/>
          </rPr>
          <t>50 rs subtracted due to maintanance upgraded and need to be adjust</t>
        </r>
      </text>
    </comment>
  </commentList>
</comments>
</file>

<file path=xl/comments2.xml><?xml version="1.0" encoding="utf-8"?>
<comments xmlns="http://schemas.openxmlformats.org/spreadsheetml/2006/main">
  <authors>
    <author>Parijat Patil     /EXT//ICICILOMBARD/MUM</author>
  </authors>
  <commentList>
    <comment ref="E31" authorId="0" shapeId="0">
      <text>
        <r>
          <rPr>
            <b/>
            <sz val="9"/>
            <color indexed="81"/>
            <rFont val="Tahoma"/>
            <charset val="1"/>
          </rPr>
          <t>50 rs subtracted due to maintanance upgraded and need to be adjust</t>
        </r>
      </text>
    </comment>
  </commentList>
</comments>
</file>

<file path=xl/sharedStrings.xml><?xml version="1.0" encoding="utf-8"?>
<sst xmlns="http://schemas.openxmlformats.org/spreadsheetml/2006/main" count="722" uniqueCount="91">
  <si>
    <t>%</t>
  </si>
  <si>
    <t>Purchase Prize</t>
  </si>
  <si>
    <t>Current Prize</t>
  </si>
  <si>
    <t>P/L</t>
  </si>
  <si>
    <t>P/L %</t>
  </si>
  <si>
    <t>Rohit singh</t>
  </si>
  <si>
    <t>Total</t>
  </si>
  <si>
    <t>Total shares</t>
  </si>
  <si>
    <t>Share 7</t>
  </si>
  <si>
    <t>Share 8</t>
  </si>
  <si>
    <t>Share 9</t>
  </si>
  <si>
    <t>Share 10</t>
  </si>
  <si>
    <t>Percentage</t>
  </si>
  <si>
    <t>Prize</t>
  </si>
  <si>
    <t>Rec Ltd</t>
  </si>
  <si>
    <t>tata motors</t>
  </si>
  <si>
    <t>Rits</t>
  </si>
  <si>
    <t>Nationalum</t>
  </si>
  <si>
    <t>philip carb</t>
  </si>
  <si>
    <t>Room no</t>
  </si>
  <si>
    <t>June</t>
  </si>
  <si>
    <t>July</t>
  </si>
  <si>
    <t>August</t>
  </si>
  <si>
    <t>September</t>
  </si>
  <si>
    <t>Pending Maintanance till June</t>
  </si>
  <si>
    <t>Name</t>
  </si>
  <si>
    <t>Vilas Vaidu</t>
  </si>
  <si>
    <t>Sunil Mohite</t>
  </si>
  <si>
    <t>Parvati Patil</t>
  </si>
  <si>
    <t>Bhagwan phadke</t>
  </si>
  <si>
    <t>Radha Borade</t>
  </si>
  <si>
    <t>Subhash Patil</t>
  </si>
  <si>
    <t>Kailas Gude</t>
  </si>
  <si>
    <t>Babu Shevale</t>
  </si>
  <si>
    <t>Parvati Naik</t>
  </si>
  <si>
    <t>Abrar Khan</t>
  </si>
  <si>
    <t>Bhaskar Ghaodke</t>
  </si>
  <si>
    <t>Chandrashekhar bhandari</t>
  </si>
  <si>
    <t>Seeta Chandramma</t>
  </si>
  <si>
    <t>Indubai Karke</t>
  </si>
  <si>
    <t>Sonu Snsari</t>
  </si>
  <si>
    <t>Javed Shekh</t>
  </si>
  <si>
    <t>Shraddha Mohite</t>
  </si>
  <si>
    <t>Babulal Shamkai</t>
  </si>
  <si>
    <t>Sarita Jadhav</t>
  </si>
  <si>
    <t>Ravindra Nitturi</t>
  </si>
  <si>
    <t>Anand Belvalkar</t>
  </si>
  <si>
    <t>Ram Thakur</t>
  </si>
  <si>
    <t>Vijay Shirke</t>
  </si>
  <si>
    <t>Prakash Shelar</t>
  </si>
  <si>
    <t>Paid</t>
  </si>
  <si>
    <t>Total Paid</t>
  </si>
  <si>
    <t>Pending Maintanance till Sep</t>
  </si>
  <si>
    <t>Maintanance amount</t>
  </si>
  <si>
    <t>Extra Maintanance for raint</t>
  </si>
  <si>
    <t>Maintanance</t>
  </si>
  <si>
    <t>Pending month Month</t>
  </si>
  <si>
    <t>Total ammount</t>
  </si>
  <si>
    <t>October</t>
  </si>
  <si>
    <t>November</t>
  </si>
  <si>
    <t>December</t>
  </si>
  <si>
    <t>Maintanance 
amount</t>
  </si>
  <si>
    <t>Pennelty</t>
  </si>
  <si>
    <t>Room not available</t>
  </si>
  <si>
    <t>Date</t>
  </si>
  <si>
    <t>Done</t>
  </si>
  <si>
    <t/>
  </si>
  <si>
    <t>1,14</t>
  </si>
  <si>
    <t>Pennelty Paid</t>
  </si>
  <si>
    <t>Pending Maintanance
till June(From Ravi Nitturi List)</t>
  </si>
  <si>
    <t>Pending Maintanance 
till current month</t>
  </si>
  <si>
    <t>Ravi Nitturi's Cash spend details</t>
  </si>
  <si>
    <t>Month</t>
  </si>
  <si>
    <t>Amount</t>
  </si>
  <si>
    <t>January</t>
  </si>
  <si>
    <t>February</t>
  </si>
  <si>
    <t>March</t>
  </si>
  <si>
    <t>April</t>
  </si>
  <si>
    <t>May</t>
  </si>
  <si>
    <t>Year</t>
  </si>
  <si>
    <t>Extra Fixed amount to pay</t>
  </si>
  <si>
    <t>Water tank cleaning</t>
  </si>
  <si>
    <t>Boarwell Motor servicing</t>
  </si>
  <si>
    <t>Divali bonus</t>
  </si>
  <si>
    <t>stationary</t>
  </si>
  <si>
    <t>Other expences</t>
  </si>
  <si>
    <t>Drainage cleaning</t>
  </si>
  <si>
    <t>Extra Maintanance
 for raint</t>
  </si>
  <si>
    <t>as per Ravi nitturi</t>
  </si>
  <si>
    <t>In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</si>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</sst>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0" xfId="0" applyFont="1" applyFill="1"/>
    <xf numFmtId="0" fontId="1" fillId="3" borderId="0" xfId="0" applyFont="1" applyFill="1"/>
    <xf numFmtId="0" fontId="2" fillId="0" borderId="0" xfId="0" applyFont="1"/>
    <xf numFmtId="0" fontId="1" fillId="0" borderId="0" xfId="0" applyFont="1"/>
    <xf numFmtId="0" fontId="1" fillId="5" borderId="0" xfId="0" applyFont="1" applyFill="1"/>
    <xf numFmtId="0" fontId="0" fillId="5" borderId="0" xfId="0" applyFill="1"/>
    <xf numFmtId="0" fontId="0" fillId="0" borderId="0" xfId="0" applyFill="1" applyBorder="1"/>
    <xf numFmtId="0" fontId="0" fillId="0" borderId="1" xfId="0" applyBorder="1"/>
    <xf numFmtId="0" fontId="0" fillId="0" borderId="1" xfId="0" applyFill="1" applyBorder="1"/>
    <xf numFmtId="0" fontId="1" fillId="0" borderId="1" xfId="0" applyFont="1" applyBorder="1"/>
    <xf numFmtId="0" fontId="0" fillId="7" borderId="1" xfId="0" applyFill="1" applyBorder="1"/>
    <xf numFmtId="0" fontId="0" fillId="6" borderId="1" xfId="0" applyFill="1" applyBorder="1"/>
    <xf numFmtId="0" fontId="2" fillId="8" borderId="1" xfId="0" applyFont="1" applyFill="1" applyBorder="1"/>
    <xf numFmtId="0" fontId="1" fillId="6" borderId="1" xfId="0" applyFont="1" applyFill="1" applyBorder="1"/>
    <xf numFmtId="0" fontId="0" fillId="10" borderId="1" xfId="0" applyFill="1" applyBorder="1"/>
    <xf numFmtId="0" fontId="0" fillId="0" borderId="8" xfId="0" applyBorder="1"/>
    <xf numFmtId="0" fontId="1" fillId="6" borderId="2" xfId="0" applyFont="1" applyFill="1" applyBorder="1"/>
    <xf numFmtId="0" fontId="1" fillId="6" borderId="2" xfId="0" applyFont="1" applyFill="1" applyBorder="1" applyAlignment="1">
      <alignment wrapText="1"/>
    </xf>
    <xf numFmtId="0" fontId="1" fillId="10" borderId="9" xfId="0" applyFont="1" applyFill="1" applyBorder="1"/>
    <xf numFmtId="0" fontId="0" fillId="10" borderId="10" xfId="0" applyFill="1" applyBorder="1"/>
    <xf numFmtId="0" fontId="0" fillId="9" borderId="10" xfId="0" applyFill="1" applyBorder="1"/>
    <xf numFmtId="0" fontId="0" fillId="9" borderId="11" xfId="0" applyFill="1" applyBorder="1"/>
    <xf numFmtId="0" fontId="0" fillId="10" borderId="12" xfId="0" applyFill="1" applyBorder="1"/>
    <xf numFmtId="0" fontId="0" fillId="7" borderId="13" xfId="0" applyFill="1" applyBorder="1"/>
    <xf numFmtId="0" fontId="2" fillId="10" borderId="12" xfId="0" applyFont="1" applyFill="1" applyBorder="1"/>
    <xf numFmtId="0" fontId="2" fillId="8" borderId="13" xfId="0" applyFont="1" applyFill="1" applyBorder="1"/>
    <xf numFmtId="0" fontId="2" fillId="10" borderId="14" xfId="0" applyFont="1" applyFill="1" applyBorder="1"/>
    <xf numFmtId="0" fontId="0" fillId="10" borderId="15" xfId="0" applyFill="1" applyBorder="1"/>
    <xf numFmtId="0" fontId="0" fillId="8" borderId="15" xfId="0" applyFill="1" applyBorder="1"/>
    <xf numFmtId="0" fontId="0" fillId="8" borderId="16" xfId="0" applyFill="1" applyBorder="1"/>
    <xf numFmtId="0" fontId="0" fillId="0" borderId="2" xfId="0" applyBorder="1"/>
    <xf numFmtId="0" fontId="1" fillId="0" borderId="17" xfId="0" applyFont="1" applyBorder="1"/>
    <xf numFmtId="0" fontId="1" fillId="0" borderId="18" xfId="0" applyFont="1" applyBorder="1"/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142875</xdr:rowOff>
        </xdr:from>
        <xdr:to>
          <xdr:col>1</xdr:col>
          <xdr:colOff>1285875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"/>
  <sheetViews>
    <sheetView workbookViewId="0">
      <selection activeCell="N1" sqref="N1"/>
    </sheetView>
  </sheetViews>
  <sheetFormatPr defaultRowHeight="15" x14ac:dyDescent="0.25"/>
  <cols>
    <col min="1" max="1" width="14" bestFit="1" customWidth="1"/>
    <col min="2" max="2" width="11" bestFit="1" customWidth="1"/>
    <col min="5" max="5" width="10.85546875" bestFit="1" customWidth="1"/>
    <col min="6" max="6" width="11" bestFit="1" customWidth="1"/>
    <col min="16" max="16" width="11" bestFit="1" customWidth="1"/>
  </cols>
  <sheetData>
    <row r="1" spans="1:16" x14ac:dyDescent="0.25">
      <c r="A1" s="3" t="s">
        <v>0</v>
      </c>
      <c r="B1" s="3" t="s">
        <v>14</v>
      </c>
      <c r="C1" s="3" t="s">
        <v>16</v>
      </c>
      <c r="D1" s="3" t="s">
        <v>17</v>
      </c>
      <c r="E1" s="3" t="s">
        <v>15</v>
      </c>
      <c r="F1" s="3" t="s">
        <v>18</v>
      </c>
      <c r="G1" s="3" t="s">
        <v>16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6</v>
      </c>
      <c r="N1" s="3" t="s">
        <v>3</v>
      </c>
      <c r="O1" s="3" t="s">
        <v>13</v>
      </c>
      <c r="P1" s="3" t="s">
        <v>12</v>
      </c>
    </row>
    <row r="2" spans="1:16" x14ac:dyDescent="0.25">
      <c r="A2" s="3" t="s">
        <v>7</v>
      </c>
      <c r="B2" s="2">
        <v>8</v>
      </c>
      <c r="C2" s="2">
        <v>5</v>
      </c>
      <c r="D2" s="2"/>
      <c r="E2" s="2"/>
      <c r="F2" s="2">
        <v>6</v>
      </c>
      <c r="G2" s="2">
        <v>3</v>
      </c>
      <c r="H2" s="2"/>
      <c r="I2" s="2"/>
      <c r="J2" s="2"/>
      <c r="K2" s="2"/>
      <c r="L2" s="4">
        <f>SUM(B2:K2)</f>
        <v>22</v>
      </c>
      <c r="N2">
        <v>333</v>
      </c>
      <c r="O2">
        <v>750</v>
      </c>
      <c r="P2">
        <f>N2/O2*100</f>
        <v>44.4</v>
      </c>
    </row>
    <row r="3" spans="1:16" x14ac:dyDescent="0.25">
      <c r="A3" s="3" t="s">
        <v>1</v>
      </c>
      <c r="B3" s="2">
        <v>125.85</v>
      </c>
      <c r="C3" s="2">
        <v>237.25</v>
      </c>
      <c r="D3" s="2">
        <v>45.05</v>
      </c>
      <c r="E3" s="2">
        <v>123.7</v>
      </c>
      <c r="F3" s="2">
        <v>127</v>
      </c>
      <c r="G3" s="2">
        <v>236</v>
      </c>
      <c r="H3" s="2"/>
      <c r="I3" s="2"/>
      <c r="J3" s="2"/>
      <c r="K3" s="2"/>
      <c r="L3" s="4">
        <f>SUM(B3:K3)</f>
        <v>894.85</v>
      </c>
    </row>
    <row r="4" spans="1:16" x14ac:dyDescent="0.25">
      <c r="A4" s="3" t="s">
        <v>2</v>
      </c>
      <c r="B4" s="2">
        <v>125.91</v>
      </c>
      <c r="C4" s="2">
        <v>238.2</v>
      </c>
      <c r="D4" s="2"/>
      <c r="E4" s="2"/>
      <c r="F4" s="2">
        <v>127.95</v>
      </c>
      <c r="G4" s="2">
        <v>235.65</v>
      </c>
      <c r="H4" s="2"/>
      <c r="I4" s="2"/>
      <c r="J4" s="2"/>
      <c r="K4" s="2"/>
      <c r="L4" s="4">
        <f>SUM(B4:K4)</f>
        <v>727.71</v>
      </c>
    </row>
    <row r="5" spans="1:16" x14ac:dyDescent="0.25">
      <c r="A5" s="3" t="s">
        <v>3</v>
      </c>
      <c r="B5" s="1">
        <f>(B4-B3)*B2</f>
        <v>0.48000000000001819</v>
      </c>
      <c r="C5" s="1">
        <f t="shared" ref="C5:K5" si="0">(C4-C3)*C2</f>
        <v>4.7499999999999432</v>
      </c>
      <c r="D5" s="1">
        <f t="shared" si="0"/>
        <v>0</v>
      </c>
      <c r="E5" s="1">
        <f t="shared" si="0"/>
        <v>0</v>
      </c>
      <c r="F5" s="1">
        <f>(F4-F3)*F2</f>
        <v>5.7000000000000171</v>
      </c>
      <c r="G5" s="1">
        <f t="shared" si="0"/>
        <v>-1.0499999999999829</v>
      </c>
      <c r="H5" s="1">
        <f t="shared" si="0"/>
        <v>0</v>
      </c>
      <c r="I5" s="1">
        <f t="shared" si="0"/>
        <v>0</v>
      </c>
      <c r="J5" s="1">
        <f t="shared" si="0"/>
        <v>0</v>
      </c>
      <c r="K5" s="1">
        <f t="shared" si="0"/>
        <v>0</v>
      </c>
      <c r="L5" s="4">
        <f>SUM(B5:K5)</f>
        <v>9.8799999999999955</v>
      </c>
    </row>
    <row r="6" spans="1:16" x14ac:dyDescent="0.25">
      <c r="A6" s="3" t="s">
        <v>4</v>
      </c>
      <c r="B6" s="1">
        <f>IFERROR(B5/(B4*B$2)*100,"")</f>
        <v>4.7653085537290342E-2</v>
      </c>
      <c r="C6" s="1">
        <f t="shared" ref="C6:K6" si="1">IFERROR(C5/(C4*C$2)*100,"")</f>
        <v>0.39882451721242174</v>
      </c>
      <c r="D6" s="1" t="str">
        <f t="shared" si="1"/>
        <v/>
      </c>
      <c r="E6" s="1" t="str">
        <f t="shared" si="1"/>
        <v/>
      </c>
      <c r="F6" s="1">
        <f t="shared" si="1"/>
        <v>0.74247753028526986</v>
      </c>
      <c r="G6" s="1">
        <f t="shared" si="1"/>
        <v>-0.14852535539995515</v>
      </c>
      <c r="H6" s="1" t="str">
        <f t="shared" si="1"/>
        <v/>
      </c>
      <c r="I6" s="1" t="str">
        <f t="shared" si="1"/>
        <v/>
      </c>
      <c r="J6" s="1" t="str">
        <f t="shared" si="1"/>
        <v/>
      </c>
      <c r="K6" s="1" t="str">
        <f t="shared" si="1"/>
        <v/>
      </c>
      <c r="L6" s="4">
        <f t="shared" ref="L6" si="2">IFERROR(L5/L4*100,"")</f>
        <v>1.3576836926797757</v>
      </c>
    </row>
    <row r="8" spans="1:16" x14ac:dyDescent="0.25">
      <c r="A8" t="s">
        <v>5</v>
      </c>
      <c r="B8">
        <v>8452830199</v>
      </c>
    </row>
    <row r="9" spans="1:16" x14ac:dyDescent="0.25">
      <c r="F9">
        <v>39886000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6"/>
  <sheetViews>
    <sheetView topLeftCell="E10" workbookViewId="0">
      <selection sqref="A1:Q31"/>
    </sheetView>
  </sheetViews>
  <sheetFormatPr defaultRowHeight="15" x14ac:dyDescent="0.25"/>
  <cols>
    <col min="2" max="2" width="24" bestFit="1" customWidth="1"/>
    <col min="3" max="4" width="24" customWidth="1"/>
    <col min="5" max="5" width="28.140625" customWidth="1"/>
    <col min="6" max="8" width="9.140625" customWidth="1"/>
    <col min="9" max="12" width="10.85546875" customWidth="1"/>
    <col min="13" max="13" width="27.28515625" customWidth="1"/>
    <col min="14" max="14" width="12.42578125" bestFit="1" customWidth="1"/>
    <col min="15" max="15" width="14.5703125" bestFit="1" customWidth="1"/>
    <col min="20" max="20" width="21.140625" bestFit="1" customWidth="1"/>
    <col min="21" max="21" width="12.42578125" bestFit="1" customWidth="1"/>
    <col min="22" max="22" width="14.5703125" bestFit="1" customWidth="1"/>
  </cols>
  <sheetData>
    <row r="1" spans="1:17" x14ac:dyDescent="0.25">
      <c r="A1" s="6" t="s">
        <v>19</v>
      </c>
      <c r="B1" s="6" t="s">
        <v>25</v>
      </c>
      <c r="C1" s="6" t="s">
        <v>54</v>
      </c>
      <c r="D1" s="6" t="s">
        <v>53</v>
      </c>
      <c r="E1" s="6" t="s">
        <v>24</v>
      </c>
      <c r="F1" s="6" t="s">
        <v>20</v>
      </c>
      <c r="G1" s="6" t="s">
        <v>21</v>
      </c>
      <c r="H1" s="6" t="s">
        <v>22</v>
      </c>
      <c r="I1" s="6" t="s">
        <v>23</v>
      </c>
      <c r="J1" s="6" t="s">
        <v>58</v>
      </c>
      <c r="K1" s="6" t="s">
        <v>59</v>
      </c>
      <c r="L1" s="6" t="s">
        <v>60</v>
      </c>
      <c r="M1" s="7" t="s">
        <v>52</v>
      </c>
      <c r="N1" s="6" t="s">
        <v>51</v>
      </c>
      <c r="O1" s="6" t="s">
        <v>50</v>
      </c>
    </row>
    <row r="2" spans="1:17" x14ac:dyDescent="0.25">
      <c r="A2">
        <v>1</v>
      </c>
      <c r="B2" t="s">
        <v>26</v>
      </c>
      <c r="C2">
        <v>50</v>
      </c>
      <c r="D2">
        <v>500</v>
      </c>
      <c r="E2">
        <v>6500</v>
      </c>
      <c r="M2" s="8">
        <f>((D2+C2)*3+E2)-N2</f>
        <v>6100</v>
      </c>
      <c r="N2">
        <f>SUM(O2:W2)</f>
        <v>2050</v>
      </c>
      <c r="O2">
        <v>2050</v>
      </c>
    </row>
    <row r="3" spans="1:17" x14ac:dyDescent="0.25">
      <c r="A3">
        <v>2</v>
      </c>
      <c r="B3" t="s">
        <v>27</v>
      </c>
      <c r="D3">
        <v>450</v>
      </c>
      <c r="E3">
        <v>2700</v>
      </c>
      <c r="M3" s="8">
        <f t="shared" ref="M3:M31" si="0">((D3+C3)*3+E3)-N3</f>
        <v>3150</v>
      </c>
      <c r="N3">
        <f t="shared" ref="N3:N31" si="1">SUM(O3:W3)</f>
        <v>900</v>
      </c>
      <c r="O3">
        <v>450</v>
      </c>
      <c r="P3">
        <v>450</v>
      </c>
    </row>
    <row r="4" spans="1:17" x14ac:dyDescent="0.25">
      <c r="A4">
        <v>3</v>
      </c>
      <c r="M4" s="8">
        <f t="shared" si="0"/>
        <v>0</v>
      </c>
      <c r="N4">
        <f t="shared" si="1"/>
        <v>0</v>
      </c>
    </row>
    <row r="5" spans="1:17" x14ac:dyDescent="0.25">
      <c r="A5">
        <v>4</v>
      </c>
      <c r="B5" t="s">
        <v>28</v>
      </c>
      <c r="D5">
        <v>450</v>
      </c>
      <c r="E5">
        <v>2250</v>
      </c>
      <c r="M5" s="8">
        <f t="shared" si="0"/>
        <v>450</v>
      </c>
      <c r="N5">
        <f t="shared" si="1"/>
        <v>3150</v>
      </c>
      <c r="O5">
        <v>1800</v>
      </c>
      <c r="P5">
        <v>900</v>
      </c>
      <c r="Q5">
        <v>450</v>
      </c>
    </row>
    <row r="6" spans="1:17" x14ac:dyDescent="0.25">
      <c r="A6">
        <v>5</v>
      </c>
      <c r="B6" t="s">
        <v>29</v>
      </c>
      <c r="D6">
        <v>300</v>
      </c>
      <c r="E6">
        <v>8500</v>
      </c>
      <c r="M6" s="8">
        <f t="shared" si="0"/>
        <v>7900</v>
      </c>
      <c r="N6">
        <f t="shared" si="1"/>
        <v>1500</v>
      </c>
      <c r="O6">
        <v>1500</v>
      </c>
    </row>
    <row r="7" spans="1:17" x14ac:dyDescent="0.25">
      <c r="A7">
        <v>6</v>
      </c>
      <c r="B7" t="s">
        <v>29</v>
      </c>
      <c r="D7">
        <v>300</v>
      </c>
      <c r="E7">
        <v>8500</v>
      </c>
      <c r="M7" s="8">
        <f t="shared" si="0"/>
        <v>7900</v>
      </c>
      <c r="N7">
        <f t="shared" si="1"/>
        <v>1500</v>
      </c>
      <c r="O7">
        <v>1500</v>
      </c>
    </row>
    <row r="8" spans="1:17" x14ac:dyDescent="0.25">
      <c r="A8">
        <v>7</v>
      </c>
      <c r="B8" t="s">
        <v>29</v>
      </c>
      <c r="D8">
        <v>300</v>
      </c>
      <c r="E8">
        <v>8500</v>
      </c>
      <c r="M8" s="8">
        <f t="shared" si="0"/>
        <v>7900</v>
      </c>
      <c r="N8">
        <f t="shared" si="1"/>
        <v>1500</v>
      </c>
      <c r="O8">
        <v>1500</v>
      </c>
    </row>
    <row r="9" spans="1:17" x14ac:dyDescent="0.25">
      <c r="A9">
        <v>8</v>
      </c>
      <c r="B9" t="s">
        <v>30</v>
      </c>
      <c r="C9">
        <v>50</v>
      </c>
      <c r="D9">
        <v>350</v>
      </c>
      <c r="E9">
        <v>1400</v>
      </c>
      <c r="M9" s="8">
        <f t="shared" si="0"/>
        <v>50</v>
      </c>
      <c r="N9">
        <f t="shared" si="1"/>
        <v>2550</v>
      </c>
      <c r="O9">
        <v>1050</v>
      </c>
      <c r="P9">
        <v>1500</v>
      </c>
    </row>
    <row r="10" spans="1:17" x14ac:dyDescent="0.25">
      <c r="A10">
        <v>9</v>
      </c>
      <c r="B10" t="s">
        <v>31</v>
      </c>
      <c r="C10">
        <v>50</v>
      </c>
      <c r="D10">
        <v>450</v>
      </c>
      <c r="M10" s="8">
        <f t="shared" si="0"/>
        <v>0</v>
      </c>
      <c r="N10">
        <f t="shared" si="1"/>
        <v>1500</v>
      </c>
      <c r="O10">
        <v>500</v>
      </c>
      <c r="P10">
        <v>500</v>
      </c>
      <c r="Q10">
        <v>500</v>
      </c>
    </row>
    <row r="11" spans="1:17" x14ac:dyDescent="0.25">
      <c r="A11">
        <v>10</v>
      </c>
      <c r="B11" t="s">
        <v>32</v>
      </c>
      <c r="D11">
        <v>450</v>
      </c>
      <c r="E11">
        <v>22150</v>
      </c>
      <c r="M11" s="8">
        <f t="shared" si="0"/>
        <v>23500</v>
      </c>
      <c r="N11">
        <f t="shared" si="1"/>
        <v>0</v>
      </c>
    </row>
    <row r="12" spans="1:17" x14ac:dyDescent="0.25">
      <c r="A12">
        <v>11</v>
      </c>
      <c r="B12" t="s">
        <v>32</v>
      </c>
      <c r="D12">
        <v>350</v>
      </c>
      <c r="E12">
        <v>22150</v>
      </c>
      <c r="M12" s="8">
        <f t="shared" si="0"/>
        <v>23200</v>
      </c>
      <c r="N12">
        <f t="shared" si="1"/>
        <v>0</v>
      </c>
    </row>
    <row r="13" spans="1:17" x14ac:dyDescent="0.25">
      <c r="A13">
        <v>12</v>
      </c>
      <c r="B13" t="s">
        <v>33</v>
      </c>
      <c r="C13">
        <v>50</v>
      </c>
      <c r="D13">
        <v>350</v>
      </c>
      <c r="E13">
        <v>20450</v>
      </c>
      <c r="M13" s="8">
        <f t="shared" si="0"/>
        <v>21650</v>
      </c>
      <c r="N13">
        <f t="shared" si="1"/>
        <v>0</v>
      </c>
    </row>
    <row r="14" spans="1:17" x14ac:dyDescent="0.25">
      <c r="A14">
        <v>13</v>
      </c>
      <c r="B14" t="s">
        <v>33</v>
      </c>
      <c r="C14">
        <v>50</v>
      </c>
      <c r="D14">
        <v>350</v>
      </c>
      <c r="E14">
        <v>20450</v>
      </c>
      <c r="M14" s="8">
        <f t="shared" si="0"/>
        <v>21650</v>
      </c>
      <c r="N14">
        <f t="shared" si="1"/>
        <v>0</v>
      </c>
    </row>
    <row r="15" spans="1:17" x14ac:dyDescent="0.25">
      <c r="A15">
        <v>14</v>
      </c>
      <c r="B15" t="s">
        <v>34</v>
      </c>
      <c r="D15">
        <v>350</v>
      </c>
      <c r="E15">
        <v>3900</v>
      </c>
      <c r="M15" s="8">
        <f t="shared" si="0"/>
        <v>4950</v>
      </c>
      <c r="N15">
        <f t="shared" si="1"/>
        <v>0</v>
      </c>
    </row>
    <row r="16" spans="1:17" x14ac:dyDescent="0.25">
      <c r="A16">
        <v>15</v>
      </c>
      <c r="B16" t="s">
        <v>35</v>
      </c>
      <c r="D16">
        <v>350</v>
      </c>
      <c r="E16">
        <v>3150</v>
      </c>
      <c r="M16" s="8">
        <f t="shared" si="0"/>
        <v>3150</v>
      </c>
      <c r="N16">
        <f t="shared" si="1"/>
        <v>1050</v>
      </c>
      <c r="O16">
        <v>1050</v>
      </c>
    </row>
    <row r="17" spans="1:17" x14ac:dyDescent="0.25">
      <c r="A17">
        <v>16</v>
      </c>
      <c r="B17" t="s">
        <v>36</v>
      </c>
      <c r="D17">
        <v>350</v>
      </c>
      <c r="E17">
        <v>2100</v>
      </c>
      <c r="M17" s="8">
        <f t="shared" si="0"/>
        <v>150</v>
      </c>
      <c r="N17">
        <f t="shared" si="1"/>
        <v>3000</v>
      </c>
      <c r="O17">
        <v>1000</v>
      </c>
      <c r="P17">
        <v>1000</v>
      </c>
      <c r="Q17">
        <v>1000</v>
      </c>
    </row>
    <row r="18" spans="1:17" x14ac:dyDescent="0.25">
      <c r="A18">
        <v>17</v>
      </c>
      <c r="B18" t="s">
        <v>37</v>
      </c>
      <c r="D18">
        <v>350</v>
      </c>
      <c r="E18">
        <v>14800</v>
      </c>
      <c r="M18" s="8">
        <f t="shared" si="0"/>
        <v>13750</v>
      </c>
      <c r="N18">
        <f t="shared" si="1"/>
        <v>2100</v>
      </c>
      <c r="O18">
        <v>2100</v>
      </c>
    </row>
    <row r="19" spans="1:17" x14ac:dyDescent="0.25">
      <c r="A19">
        <v>18</v>
      </c>
      <c r="B19" t="s">
        <v>38</v>
      </c>
      <c r="D19">
        <v>450</v>
      </c>
      <c r="E19">
        <v>3150</v>
      </c>
      <c r="M19" s="8">
        <f t="shared" si="0"/>
        <v>3500</v>
      </c>
      <c r="N19">
        <f t="shared" si="1"/>
        <v>1000</v>
      </c>
      <c r="O19">
        <v>1000</v>
      </c>
    </row>
    <row r="20" spans="1:17" x14ac:dyDescent="0.25">
      <c r="A20">
        <v>19</v>
      </c>
      <c r="B20" t="s">
        <v>39</v>
      </c>
      <c r="D20">
        <v>450</v>
      </c>
      <c r="E20">
        <v>5250</v>
      </c>
      <c r="M20" s="8">
        <f t="shared" si="0"/>
        <v>3900</v>
      </c>
      <c r="N20">
        <f t="shared" si="1"/>
        <v>2700</v>
      </c>
      <c r="O20">
        <v>900</v>
      </c>
      <c r="P20">
        <v>900</v>
      </c>
      <c r="Q20">
        <v>900</v>
      </c>
    </row>
    <row r="21" spans="1:17" x14ac:dyDescent="0.25">
      <c r="A21">
        <v>20</v>
      </c>
      <c r="B21" t="s">
        <v>40</v>
      </c>
      <c r="C21">
        <v>50</v>
      </c>
      <c r="D21">
        <v>350</v>
      </c>
      <c r="E21">
        <v>1600</v>
      </c>
      <c r="M21" s="8">
        <f t="shared" si="0"/>
        <v>0</v>
      </c>
      <c r="N21">
        <f t="shared" si="1"/>
        <v>2800</v>
      </c>
      <c r="O21">
        <v>2800</v>
      </c>
    </row>
    <row r="22" spans="1:17" x14ac:dyDescent="0.25">
      <c r="A22">
        <v>21</v>
      </c>
      <c r="B22" t="s">
        <v>41</v>
      </c>
      <c r="D22">
        <v>350</v>
      </c>
      <c r="E22">
        <v>6100</v>
      </c>
      <c r="M22" s="8">
        <f t="shared" si="0"/>
        <v>3650</v>
      </c>
      <c r="N22">
        <f t="shared" si="1"/>
        <v>3500</v>
      </c>
      <c r="O22">
        <v>3500</v>
      </c>
    </row>
    <row r="23" spans="1:17" x14ac:dyDescent="0.25">
      <c r="A23">
        <v>22</v>
      </c>
      <c r="B23" t="s">
        <v>41</v>
      </c>
      <c r="D23">
        <v>350</v>
      </c>
      <c r="E23">
        <v>6100</v>
      </c>
      <c r="M23" s="8">
        <f t="shared" si="0"/>
        <v>7150</v>
      </c>
      <c r="N23">
        <f t="shared" si="1"/>
        <v>0</v>
      </c>
    </row>
    <row r="24" spans="1:17" x14ac:dyDescent="0.25">
      <c r="A24">
        <v>23</v>
      </c>
      <c r="B24" t="s">
        <v>42</v>
      </c>
      <c r="C24">
        <v>50</v>
      </c>
      <c r="D24">
        <v>350</v>
      </c>
      <c r="E24">
        <v>2000</v>
      </c>
      <c r="M24" s="8">
        <f t="shared" si="0"/>
        <v>2000</v>
      </c>
      <c r="N24">
        <f t="shared" si="1"/>
        <v>1200</v>
      </c>
      <c r="O24">
        <v>400</v>
      </c>
      <c r="P24">
        <v>400</v>
      </c>
      <c r="Q24">
        <v>400</v>
      </c>
    </row>
    <row r="25" spans="1:17" x14ac:dyDescent="0.25">
      <c r="A25">
        <v>24</v>
      </c>
      <c r="B25" t="s">
        <v>43</v>
      </c>
      <c r="C25">
        <v>50</v>
      </c>
      <c r="D25">
        <v>350</v>
      </c>
      <c r="E25">
        <v>1200</v>
      </c>
      <c r="M25" s="8">
        <f t="shared" si="0"/>
        <v>1600</v>
      </c>
      <c r="N25">
        <f t="shared" si="1"/>
        <v>800</v>
      </c>
      <c r="O25">
        <v>800</v>
      </c>
    </row>
    <row r="26" spans="1:17" x14ac:dyDescent="0.25">
      <c r="A26">
        <v>25</v>
      </c>
      <c r="B26" s="5" t="s">
        <v>44</v>
      </c>
      <c r="C26">
        <v>50</v>
      </c>
      <c r="D26">
        <v>350</v>
      </c>
      <c r="E26">
        <v>6650</v>
      </c>
      <c r="M26" s="8">
        <f t="shared" si="0"/>
        <v>3050</v>
      </c>
      <c r="N26">
        <f t="shared" si="1"/>
        <v>4800</v>
      </c>
      <c r="O26">
        <v>2800</v>
      </c>
      <c r="P26">
        <v>2000</v>
      </c>
    </row>
    <row r="27" spans="1:17" x14ac:dyDescent="0.25">
      <c r="A27">
        <v>26</v>
      </c>
      <c r="B27" t="s">
        <v>45</v>
      </c>
      <c r="D27">
        <v>350</v>
      </c>
      <c r="E27">
        <v>1400</v>
      </c>
      <c r="M27" s="8">
        <f t="shared" si="0"/>
        <v>2450</v>
      </c>
      <c r="N27">
        <f t="shared" si="1"/>
        <v>0</v>
      </c>
    </row>
    <row r="28" spans="1:17" x14ac:dyDescent="0.25">
      <c r="A28">
        <v>27</v>
      </c>
      <c r="B28" t="s">
        <v>46</v>
      </c>
      <c r="D28">
        <v>450</v>
      </c>
      <c r="E28">
        <v>15100</v>
      </c>
      <c r="M28" s="8">
        <f t="shared" si="0"/>
        <v>16450</v>
      </c>
      <c r="N28">
        <f t="shared" si="1"/>
        <v>0</v>
      </c>
    </row>
    <row r="29" spans="1:17" x14ac:dyDescent="0.25">
      <c r="A29">
        <v>28</v>
      </c>
      <c r="B29" t="s">
        <v>47</v>
      </c>
      <c r="D29">
        <v>300</v>
      </c>
      <c r="E29">
        <v>7300</v>
      </c>
      <c r="M29" s="8">
        <f t="shared" si="0"/>
        <v>7800</v>
      </c>
      <c r="N29">
        <f t="shared" si="1"/>
        <v>400</v>
      </c>
      <c r="O29">
        <v>400</v>
      </c>
    </row>
    <row r="30" spans="1:17" x14ac:dyDescent="0.25">
      <c r="A30">
        <v>29</v>
      </c>
      <c r="B30" t="s">
        <v>48</v>
      </c>
      <c r="C30">
        <v>50</v>
      </c>
      <c r="D30">
        <v>350</v>
      </c>
      <c r="M30" s="8">
        <f t="shared" si="0"/>
        <v>1200</v>
      </c>
      <c r="N30">
        <f t="shared" si="1"/>
        <v>0</v>
      </c>
    </row>
    <row r="31" spans="1:17" x14ac:dyDescent="0.25">
      <c r="A31">
        <v>30</v>
      </c>
      <c r="B31" t="s">
        <v>49</v>
      </c>
      <c r="D31">
        <v>300</v>
      </c>
      <c r="E31">
        <v>20100</v>
      </c>
      <c r="M31" s="8">
        <f t="shared" si="0"/>
        <v>16000</v>
      </c>
      <c r="N31">
        <f t="shared" si="1"/>
        <v>5000</v>
      </c>
      <c r="O31">
        <v>5000</v>
      </c>
    </row>
    <row r="35" spans="13:15" x14ac:dyDescent="0.25">
      <c r="M35" t="s">
        <v>56</v>
      </c>
      <c r="N35" t="s">
        <v>55</v>
      </c>
      <c r="O35" t="s">
        <v>57</v>
      </c>
    </row>
    <row r="36" spans="13:15" x14ac:dyDescent="0.25">
      <c r="M36">
        <v>26</v>
      </c>
      <c r="N36">
        <v>300</v>
      </c>
      <c r="O36">
        <f>N36*M36</f>
        <v>7800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2"/>
  <sheetViews>
    <sheetView tabSelected="1" workbookViewId="0">
      <pane xSplit="7" ySplit="2" topLeftCell="H3" activePane="bottomRight" state="frozen"/>
      <selection pane="topRight" activeCell="I1" sqref="I1"/>
      <selection pane="bottomLeft" activeCell="A3" sqref="A3"/>
      <selection pane="bottomRight" activeCell="K2" sqref="K2"/>
    </sheetView>
  </sheetViews>
  <sheetFormatPr defaultRowHeight="15" x14ac:dyDescent="0.25"/>
  <cols>
    <col min="1" max="1" width="8.85546875" customWidth="1"/>
    <col min="2" max="2" width="20.140625" customWidth="1"/>
    <col min="3" max="3" width="17.28515625" customWidth="1"/>
    <col min="4" max="4" width="12.42578125" customWidth="1"/>
    <col min="5" max="5" width="21" customWidth="1"/>
    <col min="6" max="6" width="16.28515625" customWidth="1"/>
    <col min="7" max="7" width="12" bestFit="1" customWidth="1"/>
    <col min="12" max="12" width="10.42578125" bestFit="1" customWidth="1"/>
    <col min="15" max="15" width="11.7109375" bestFit="1" customWidth="1"/>
  </cols>
  <sheetData>
    <row r="1" spans="1:16" x14ac:dyDescent="0.25">
      <c r="A1" s="10"/>
      <c r="B1" s="10"/>
      <c r="C1" s="10"/>
      <c r="D1" s="10"/>
      <c r="E1" s="10"/>
      <c r="F1" s="10"/>
      <c r="G1" s="10"/>
      <c r="H1" s="10" t="s">
        <v>65</v>
      </c>
      <c r="I1" s="10" t="s">
        <v>65</v>
      </c>
      <c r="J1" s="10" t="s">
        <v>65</v>
      </c>
      <c r="K1" s="10" t="s">
        <v>65</v>
      </c>
      <c r="L1" s="10"/>
      <c r="M1" s="10"/>
      <c r="N1" s="10"/>
      <c r="O1" s="11"/>
      <c r="P1" s="9"/>
    </row>
    <row r="2" spans="1:16" ht="60.75" thickBot="1" x14ac:dyDescent="0.3">
      <c r="A2" s="16" t="s">
        <v>19</v>
      </c>
      <c r="B2" s="19" t="s">
        <v>25</v>
      </c>
      <c r="C2" s="20" t="s">
        <v>87</v>
      </c>
      <c r="D2" s="20" t="s">
        <v>61</v>
      </c>
      <c r="E2" s="20" t="s">
        <v>69</v>
      </c>
      <c r="F2" s="20" t="s">
        <v>70</v>
      </c>
      <c r="G2" s="19" t="s">
        <v>51</v>
      </c>
      <c r="H2" s="19" t="s">
        <v>20</v>
      </c>
      <c r="I2" s="19" t="s">
        <v>21</v>
      </c>
      <c r="J2" s="19" t="s">
        <v>22</v>
      </c>
      <c r="K2" s="19" t="s">
        <v>23</v>
      </c>
      <c r="L2" s="19" t="s">
        <v>58</v>
      </c>
      <c r="M2" s="19" t="s">
        <v>59</v>
      </c>
      <c r="N2" s="19" t="s">
        <v>60</v>
      </c>
      <c r="O2" s="14">
        <f>COUNTA(H1:N1)</f>
        <v>4</v>
      </c>
    </row>
    <row r="3" spans="1:16" x14ac:dyDescent="0.25">
      <c r="A3" s="39">
        <v>1</v>
      </c>
      <c r="B3" s="21" t="s">
        <v>26</v>
      </c>
      <c r="C3" s="22">
        <v>50</v>
      </c>
      <c r="D3" s="22">
        <v>450</v>
      </c>
      <c r="E3" s="22">
        <v>6500</v>
      </c>
      <c r="F3" s="22">
        <f>((D3+C3)*$O$2+E3)-G3+G5-G6</f>
        <v>4500</v>
      </c>
      <c r="G3" s="22">
        <f>SUM(H3:N3)</f>
        <v>4000</v>
      </c>
      <c r="H3" s="23"/>
      <c r="I3" s="23"/>
      <c r="J3" s="23"/>
      <c r="K3" s="23">
        <v>2000</v>
      </c>
      <c r="L3" s="23">
        <v>2000</v>
      </c>
      <c r="M3" s="23"/>
      <c r="N3" s="24"/>
      <c r="O3" s="18"/>
    </row>
    <row r="4" spans="1:16" x14ac:dyDescent="0.25">
      <c r="A4" s="40"/>
      <c r="B4" s="25" t="s">
        <v>64</v>
      </c>
      <c r="C4" s="17"/>
      <c r="D4" s="17"/>
      <c r="E4" s="17"/>
      <c r="F4" s="17"/>
      <c r="G4" s="17"/>
      <c r="H4" s="13"/>
      <c r="I4" s="13"/>
      <c r="J4" s="13"/>
      <c r="K4" s="13">
        <v>19</v>
      </c>
      <c r="L4" s="13">
        <v>10</v>
      </c>
      <c r="M4" s="13"/>
      <c r="N4" s="26"/>
      <c r="O4" s="18"/>
    </row>
    <row r="5" spans="1:16" x14ac:dyDescent="0.25">
      <c r="A5" s="40"/>
      <c r="B5" s="27" t="s">
        <v>62</v>
      </c>
      <c r="C5" s="17"/>
      <c r="D5" s="17"/>
      <c r="E5" s="17"/>
      <c r="F5" s="17"/>
      <c r="G5" s="17">
        <f>SUM(H5:N5)</f>
        <v>50</v>
      </c>
      <c r="H5" s="15" t="str">
        <f t="shared" ref="H5" si="0">IF(H4&gt;15,"50","")</f>
        <v/>
      </c>
      <c r="I5" s="15" t="str">
        <f t="shared" ref="I5" si="1">IF(I4&gt;15,"50","")</f>
        <v/>
      </c>
      <c r="J5" s="15" t="str">
        <f t="shared" ref="J5" si="2">IF(J4&gt;15,"50","")</f>
        <v/>
      </c>
      <c r="K5" s="15">
        <v>50</v>
      </c>
      <c r="L5" s="15" t="str">
        <f>IF(L4&gt;15,"50","")</f>
        <v/>
      </c>
      <c r="M5" s="15" t="str">
        <f t="shared" ref="M5" si="3">IF(M4&gt;15,"50","")</f>
        <v/>
      </c>
      <c r="N5" s="28" t="str">
        <f t="shared" ref="N5" si="4">IF(N4&gt;15,"50","")</f>
        <v/>
      </c>
      <c r="O5" s="18"/>
    </row>
    <row r="6" spans="1:16" ht="15.75" thickBot="1" x14ac:dyDescent="0.3">
      <c r="A6" s="41"/>
      <c r="B6" s="29" t="s">
        <v>68</v>
      </c>
      <c r="C6" s="30"/>
      <c r="D6" s="30"/>
      <c r="E6" s="30"/>
      <c r="F6" s="30"/>
      <c r="G6" s="30">
        <f>SUM(H6:N6)</f>
        <v>50</v>
      </c>
      <c r="H6" s="31"/>
      <c r="I6" s="31"/>
      <c r="J6" s="31"/>
      <c r="K6" s="31">
        <v>50</v>
      </c>
      <c r="L6" s="31"/>
      <c r="M6" s="31"/>
      <c r="N6" s="32"/>
      <c r="O6" s="18"/>
    </row>
    <row r="7" spans="1:16" x14ac:dyDescent="0.25">
      <c r="A7" s="36">
        <v>2</v>
      </c>
      <c r="B7" s="21" t="s">
        <v>27</v>
      </c>
      <c r="C7" s="22"/>
      <c r="D7" s="22">
        <v>450</v>
      </c>
      <c r="E7" s="22">
        <v>2700</v>
      </c>
      <c r="F7" s="22">
        <f>((D7+C7)*$O$2+E7)-G7+G9-G10</f>
        <v>3200</v>
      </c>
      <c r="G7" s="22">
        <f>SUM(H7:N7)</f>
        <v>1350</v>
      </c>
      <c r="H7" s="23"/>
      <c r="I7" s="23">
        <v>450</v>
      </c>
      <c r="J7" s="23"/>
      <c r="K7" s="23">
        <v>450</v>
      </c>
      <c r="L7" s="23">
        <v>450</v>
      </c>
      <c r="M7" s="23"/>
      <c r="N7" s="24"/>
      <c r="O7" s="10"/>
    </row>
    <row r="8" spans="1:16" x14ac:dyDescent="0.25">
      <c r="A8" s="37"/>
      <c r="B8" s="25" t="s">
        <v>64</v>
      </c>
      <c r="C8" s="17"/>
      <c r="D8" s="17"/>
      <c r="E8" s="17"/>
      <c r="F8" s="17"/>
      <c r="G8" s="17"/>
      <c r="H8" s="13"/>
      <c r="I8" s="13">
        <v>7</v>
      </c>
      <c r="J8" s="13"/>
      <c r="K8" s="13">
        <v>11</v>
      </c>
      <c r="L8" s="13">
        <v>11</v>
      </c>
      <c r="M8" s="13"/>
      <c r="N8" s="26"/>
      <c r="O8" s="10"/>
    </row>
    <row r="9" spans="1:16" x14ac:dyDescent="0.25">
      <c r="A9" s="37"/>
      <c r="B9" s="27" t="s">
        <v>62</v>
      </c>
      <c r="C9" s="17"/>
      <c r="D9" s="17"/>
      <c r="E9" s="17"/>
      <c r="F9" s="17"/>
      <c r="G9" s="17">
        <f>SUM(H9:N9)</f>
        <v>50</v>
      </c>
      <c r="H9" s="15" t="str">
        <f t="shared" ref="H9" si="5">IF(H8&gt;15,"50","")</f>
        <v/>
      </c>
      <c r="I9" s="15" t="str">
        <f t="shared" ref="I9" si="6">IF(I8&gt;15,"50","")</f>
        <v/>
      </c>
      <c r="J9" s="15">
        <v>50</v>
      </c>
      <c r="K9" s="15"/>
      <c r="L9" s="15" t="str">
        <f>IF(L8&gt;15,"50","")</f>
        <v/>
      </c>
      <c r="M9" s="15" t="str">
        <f t="shared" ref="M9" si="7">IF(M8&gt;15,"50","")</f>
        <v/>
      </c>
      <c r="N9" s="28" t="str">
        <f t="shared" ref="N9" si="8">IF(N8&gt;15,"50","")</f>
        <v/>
      </c>
      <c r="O9" s="10"/>
    </row>
    <row r="10" spans="1:16" ht="15.75" thickBot="1" x14ac:dyDescent="0.3">
      <c r="A10" s="38"/>
      <c r="B10" s="29" t="s">
        <v>68</v>
      </c>
      <c r="C10" s="30"/>
      <c r="D10" s="30"/>
      <c r="E10" s="30"/>
      <c r="F10" s="30"/>
      <c r="G10" s="30">
        <f>SUM(H10:N10)</f>
        <v>0</v>
      </c>
      <c r="H10" s="31"/>
      <c r="I10" s="31"/>
      <c r="J10" s="31"/>
      <c r="K10" s="31"/>
      <c r="L10" s="31"/>
      <c r="M10" s="31"/>
      <c r="N10" s="32"/>
      <c r="O10" s="10"/>
    </row>
    <row r="11" spans="1:16" x14ac:dyDescent="0.25">
      <c r="A11" s="36">
        <v>3</v>
      </c>
      <c r="B11" s="21" t="s">
        <v>63</v>
      </c>
      <c r="C11" s="22"/>
      <c r="D11" s="22"/>
      <c r="E11" s="22"/>
      <c r="F11" s="22">
        <f>((D11+C11)*$O$2+E11)-G11+G13-G14</f>
        <v>0</v>
      </c>
      <c r="G11" s="22">
        <f>SUM(H11:N11)</f>
        <v>0</v>
      </c>
      <c r="H11" s="23"/>
      <c r="I11" s="23"/>
      <c r="J11" s="23"/>
      <c r="K11" s="23"/>
      <c r="L11" s="23">
        <v>0</v>
      </c>
      <c r="M11" s="23"/>
      <c r="N11" s="24"/>
      <c r="O11" s="10"/>
    </row>
    <row r="12" spans="1:16" x14ac:dyDescent="0.25">
      <c r="A12" s="37"/>
      <c r="B12" s="25" t="s">
        <v>64</v>
      </c>
      <c r="C12" s="17"/>
      <c r="D12" s="17"/>
      <c r="E12" s="17"/>
      <c r="F12" s="17"/>
      <c r="G12" s="17"/>
      <c r="H12" s="13"/>
      <c r="I12" s="13"/>
      <c r="J12" s="13"/>
      <c r="K12" s="13"/>
      <c r="L12" s="13"/>
      <c r="M12" s="13"/>
      <c r="N12" s="26"/>
      <c r="O12" s="10"/>
    </row>
    <row r="13" spans="1:16" x14ac:dyDescent="0.25">
      <c r="A13" s="37"/>
      <c r="B13" s="27" t="s">
        <v>62</v>
      </c>
      <c r="C13" s="17"/>
      <c r="D13" s="17"/>
      <c r="E13" s="17"/>
      <c r="F13" s="17"/>
      <c r="G13" s="17">
        <f>SUM(H13:N13)</f>
        <v>0</v>
      </c>
      <c r="H13" s="15" t="str">
        <f t="shared" ref="H13" si="9">IF(H12&gt;15,"50","")</f>
        <v/>
      </c>
      <c r="I13" s="15" t="str">
        <f t="shared" ref="I13" si="10">IF(I12&gt;15,"50","")</f>
        <v/>
      </c>
      <c r="J13" s="15" t="str">
        <f t="shared" ref="J13" si="11">IF(J12&gt;15,"50","")</f>
        <v/>
      </c>
      <c r="K13" s="15" t="str">
        <f t="shared" ref="K13" si="12">IF(K12&gt;15,"50","")</f>
        <v/>
      </c>
      <c r="L13" s="15"/>
      <c r="M13" s="15" t="str">
        <f t="shared" ref="M13" si="13">IF(M12&gt;15,"50","")</f>
        <v/>
      </c>
      <c r="N13" s="28" t="str">
        <f t="shared" ref="N13" si="14">IF(N12&gt;15,"50","")</f>
        <v/>
      </c>
      <c r="O13" s="10"/>
    </row>
    <row r="14" spans="1:16" ht="15.75" thickBot="1" x14ac:dyDescent="0.3">
      <c r="A14" s="38"/>
      <c r="B14" s="29" t="s">
        <v>68</v>
      </c>
      <c r="C14" s="30"/>
      <c r="D14" s="30"/>
      <c r="E14" s="30"/>
      <c r="F14" s="30"/>
      <c r="G14" s="30">
        <f>SUM(H14:N14)</f>
        <v>0</v>
      </c>
      <c r="H14" s="31"/>
      <c r="I14" s="31"/>
      <c r="J14" s="31"/>
      <c r="K14" s="31"/>
      <c r="L14" s="31"/>
      <c r="M14" s="31"/>
      <c r="N14" s="32"/>
      <c r="O14" s="10"/>
    </row>
    <row r="15" spans="1:16" x14ac:dyDescent="0.25">
      <c r="A15" s="36">
        <v>4</v>
      </c>
      <c r="B15" s="21" t="s">
        <v>28</v>
      </c>
      <c r="C15" s="22"/>
      <c r="D15" s="22">
        <v>450</v>
      </c>
      <c r="E15" s="22">
        <v>2250</v>
      </c>
      <c r="F15" s="22">
        <f>((D15+C15)*$O$2+E15)-G15+G17-G18</f>
        <v>0</v>
      </c>
      <c r="G15" s="22">
        <f>SUM(H15:N15)</f>
        <v>4050</v>
      </c>
      <c r="H15" s="23"/>
      <c r="I15" s="23">
        <v>1800</v>
      </c>
      <c r="J15" s="23">
        <v>900</v>
      </c>
      <c r="K15" s="23">
        <v>450</v>
      </c>
      <c r="L15" s="23">
        <v>900</v>
      </c>
      <c r="M15" s="23"/>
      <c r="N15" s="24"/>
      <c r="O15" s="10"/>
    </row>
    <row r="16" spans="1:16" x14ac:dyDescent="0.25">
      <c r="A16" s="37"/>
      <c r="B16" s="25" t="s">
        <v>64</v>
      </c>
      <c r="C16" s="17"/>
      <c r="D16" s="17"/>
      <c r="E16" s="17"/>
      <c r="F16" s="17"/>
      <c r="G16" s="17"/>
      <c r="H16" s="13"/>
      <c r="I16" s="13">
        <v>3</v>
      </c>
      <c r="J16" s="13">
        <v>5</v>
      </c>
      <c r="K16" s="13">
        <v>10</v>
      </c>
      <c r="L16" s="13">
        <v>4</v>
      </c>
      <c r="M16" s="13"/>
      <c r="N16" s="26"/>
      <c r="O16" s="10"/>
    </row>
    <row r="17" spans="1:15" x14ac:dyDescent="0.25">
      <c r="A17" s="37"/>
      <c r="B17" s="27" t="s">
        <v>62</v>
      </c>
      <c r="C17" s="17"/>
      <c r="D17" s="17"/>
      <c r="E17" s="17"/>
      <c r="F17" s="17"/>
      <c r="G17" s="17">
        <f>SUM(H17:N17)</f>
        <v>0</v>
      </c>
      <c r="H17" s="15" t="str">
        <f t="shared" ref="H17" si="15">IF(H16&gt;15,"50","")</f>
        <v/>
      </c>
      <c r="I17" s="15" t="str">
        <f t="shared" ref="I17" si="16">IF(I16&gt;15,"50","")</f>
        <v/>
      </c>
      <c r="J17" s="15" t="str">
        <f t="shared" ref="J17" si="17">IF(J16&gt;15,"50","")</f>
        <v/>
      </c>
      <c r="K17" s="15" t="str">
        <f t="shared" ref="K17" si="18">IF(K16&gt;15,"50","")</f>
        <v/>
      </c>
      <c r="L17" s="15" t="str">
        <f>IF(L16&gt;15,"50","")</f>
        <v/>
      </c>
      <c r="M17" s="15" t="str">
        <f t="shared" ref="M17" si="19">IF(M16&gt;15,"50","")</f>
        <v/>
      </c>
      <c r="N17" s="28" t="str">
        <f t="shared" ref="N17" si="20">IF(N16&gt;15,"50","")</f>
        <v/>
      </c>
      <c r="O17" s="10"/>
    </row>
    <row r="18" spans="1:15" ht="15.75" thickBot="1" x14ac:dyDescent="0.3">
      <c r="A18" s="38"/>
      <c r="B18" s="29" t="s">
        <v>68</v>
      </c>
      <c r="C18" s="30"/>
      <c r="D18" s="30"/>
      <c r="E18" s="30"/>
      <c r="F18" s="30"/>
      <c r="G18" s="30">
        <f>SUM(H18:N18)</f>
        <v>0</v>
      </c>
      <c r="H18" s="31"/>
      <c r="I18" s="31"/>
      <c r="J18" s="31"/>
      <c r="K18" s="31"/>
      <c r="L18" s="31"/>
      <c r="M18" s="31"/>
      <c r="N18" s="32"/>
      <c r="O18" s="10"/>
    </row>
    <row r="19" spans="1:15" x14ac:dyDescent="0.25">
      <c r="A19" s="36">
        <v>5</v>
      </c>
      <c r="B19" s="21" t="s">
        <v>29</v>
      </c>
      <c r="C19" s="22"/>
      <c r="D19" s="22">
        <v>300</v>
      </c>
      <c r="E19" s="22">
        <v>8500</v>
      </c>
      <c r="F19" s="22">
        <f>((D19+C19)*$O$2+E19)-G19+G21-G22</f>
        <v>8200</v>
      </c>
      <c r="G19" s="22">
        <f>SUM(H19:N19)</f>
        <v>1500</v>
      </c>
      <c r="H19" s="23"/>
      <c r="I19" s="23"/>
      <c r="J19" s="23"/>
      <c r="K19" s="23">
        <v>1500</v>
      </c>
      <c r="L19" s="23"/>
      <c r="M19" s="23"/>
      <c r="N19" s="24"/>
      <c r="O19" s="10"/>
    </row>
    <row r="20" spans="1:15" x14ac:dyDescent="0.25">
      <c r="A20" s="37"/>
      <c r="B20" s="25" t="s">
        <v>64</v>
      </c>
      <c r="C20" s="17"/>
      <c r="D20" s="17"/>
      <c r="E20" s="17"/>
      <c r="F20" s="17"/>
      <c r="G20" s="17"/>
      <c r="H20" s="13"/>
      <c r="I20" s="13"/>
      <c r="J20" s="13"/>
      <c r="K20" s="13"/>
      <c r="L20" s="13"/>
      <c r="M20" s="13"/>
      <c r="N20" s="26"/>
      <c r="O20" s="10"/>
    </row>
    <row r="21" spans="1:15" x14ac:dyDescent="0.25">
      <c r="A21" s="37"/>
      <c r="B21" s="27" t="s">
        <v>62</v>
      </c>
      <c r="C21" s="17"/>
      <c r="D21" s="17"/>
      <c r="E21" s="17"/>
      <c r="F21" s="17"/>
      <c r="G21" s="17">
        <f>SUM(H21:N21)</f>
        <v>0</v>
      </c>
      <c r="H21" s="15" t="str">
        <f t="shared" ref="H21" si="21">IF(H20&gt;15,"50","")</f>
        <v/>
      </c>
      <c r="I21" s="15" t="str">
        <f t="shared" ref="I21" si="22">IF(I20&gt;15,"50","")</f>
        <v/>
      </c>
      <c r="J21" s="15" t="str">
        <f t="shared" ref="J21" si="23">IF(J20&gt;15,"50","")</f>
        <v/>
      </c>
      <c r="K21" s="15" t="str">
        <f t="shared" ref="K21" si="24">IF(K20&gt;15,"50","")</f>
        <v/>
      </c>
      <c r="L21" s="15"/>
      <c r="M21" s="15" t="str">
        <f t="shared" ref="M21" si="25">IF(M20&gt;15,"50","")</f>
        <v/>
      </c>
      <c r="N21" s="28" t="str">
        <f t="shared" ref="N21" si="26">IF(N20&gt;15,"50","")</f>
        <v/>
      </c>
      <c r="O21" s="10"/>
    </row>
    <row r="22" spans="1:15" ht="15.75" thickBot="1" x14ac:dyDescent="0.3">
      <c r="A22" s="38"/>
      <c r="B22" s="29" t="s">
        <v>68</v>
      </c>
      <c r="C22" s="30"/>
      <c r="D22" s="30"/>
      <c r="E22" s="30"/>
      <c r="F22" s="30"/>
      <c r="G22" s="30">
        <f>SUM(H22:N22)</f>
        <v>0</v>
      </c>
      <c r="H22" s="31"/>
      <c r="I22" s="31"/>
      <c r="J22" s="31"/>
      <c r="K22" s="31"/>
      <c r="L22" s="31"/>
      <c r="M22" s="31"/>
      <c r="N22" s="32"/>
      <c r="O22" s="10"/>
    </row>
    <row r="23" spans="1:15" x14ac:dyDescent="0.25">
      <c r="A23" s="36">
        <v>6</v>
      </c>
      <c r="B23" s="21" t="s">
        <v>29</v>
      </c>
      <c r="C23" s="22"/>
      <c r="D23" s="22">
        <v>300</v>
      </c>
      <c r="E23" s="22">
        <v>8500</v>
      </c>
      <c r="F23" s="22">
        <f>((D23+C23)*$O$2+E23)-G23+G25-G26</f>
        <v>8200</v>
      </c>
      <c r="G23" s="22">
        <f>SUM(H23:N23)</f>
        <v>1500</v>
      </c>
      <c r="H23" s="23"/>
      <c r="I23" s="23"/>
      <c r="J23" s="23"/>
      <c r="K23" s="23">
        <v>1500</v>
      </c>
      <c r="L23" s="23"/>
      <c r="M23" s="23"/>
      <c r="N23" s="24"/>
      <c r="O23" s="10"/>
    </row>
    <row r="24" spans="1:15" x14ac:dyDescent="0.25">
      <c r="A24" s="37"/>
      <c r="B24" s="25" t="s">
        <v>64</v>
      </c>
      <c r="C24" s="17"/>
      <c r="D24" s="17"/>
      <c r="E24" s="17"/>
      <c r="F24" s="17"/>
      <c r="G24" s="17"/>
      <c r="H24" s="13"/>
      <c r="I24" s="13"/>
      <c r="J24" s="13"/>
      <c r="K24" s="13"/>
      <c r="L24" s="13"/>
      <c r="M24" s="13"/>
      <c r="N24" s="26"/>
      <c r="O24" s="10"/>
    </row>
    <row r="25" spans="1:15" x14ac:dyDescent="0.25">
      <c r="A25" s="37"/>
      <c r="B25" s="27" t="s">
        <v>62</v>
      </c>
      <c r="C25" s="17"/>
      <c r="D25" s="17"/>
      <c r="E25" s="17"/>
      <c r="F25" s="17"/>
      <c r="G25" s="17">
        <f>SUM(H25:N25)</f>
        <v>0</v>
      </c>
      <c r="H25" s="15" t="s">
        <v>66</v>
      </c>
      <c r="I25" s="15" t="s">
        <v>66</v>
      </c>
      <c r="J25" s="15" t="s">
        <v>66</v>
      </c>
      <c r="K25" s="15" t="s">
        <v>66</v>
      </c>
      <c r="L25" s="15"/>
      <c r="M25" s="15" t="s">
        <v>66</v>
      </c>
      <c r="N25" s="28" t="s">
        <v>66</v>
      </c>
      <c r="O25" s="10"/>
    </row>
    <row r="26" spans="1:15" ht="15.75" thickBot="1" x14ac:dyDescent="0.3">
      <c r="A26" s="38"/>
      <c r="B26" s="29" t="s">
        <v>68</v>
      </c>
      <c r="C26" s="30"/>
      <c r="D26" s="30"/>
      <c r="E26" s="30"/>
      <c r="F26" s="30"/>
      <c r="G26" s="30">
        <f>SUM(H26:N26)</f>
        <v>0</v>
      </c>
      <c r="H26" s="31"/>
      <c r="I26" s="31"/>
      <c r="J26" s="31"/>
      <c r="K26" s="31"/>
      <c r="L26" s="31"/>
      <c r="M26" s="31"/>
      <c r="N26" s="32"/>
      <c r="O26" s="10"/>
    </row>
    <row r="27" spans="1:15" x14ac:dyDescent="0.25">
      <c r="A27" s="36">
        <v>7</v>
      </c>
      <c r="B27" s="21" t="s">
        <v>29</v>
      </c>
      <c r="C27" s="22"/>
      <c r="D27" s="22">
        <v>300</v>
      </c>
      <c r="E27" s="22">
        <v>8500</v>
      </c>
      <c r="F27" s="22">
        <f>((D27+C27)*$O$2+E27)-G27+G29-G30</f>
        <v>8200</v>
      </c>
      <c r="G27" s="22">
        <f>SUM(H27:N27)</f>
        <v>1500</v>
      </c>
      <c r="H27" s="23"/>
      <c r="I27" s="23"/>
      <c r="J27" s="23"/>
      <c r="K27" s="23">
        <v>1500</v>
      </c>
      <c r="L27" s="23"/>
      <c r="M27" s="23"/>
      <c r="N27" s="24"/>
      <c r="O27" s="10"/>
    </row>
    <row r="28" spans="1:15" x14ac:dyDescent="0.25">
      <c r="A28" s="37"/>
      <c r="B28" s="25" t="s">
        <v>64</v>
      </c>
      <c r="C28" s="17"/>
      <c r="D28" s="17"/>
      <c r="E28" s="17"/>
      <c r="F28" s="17"/>
      <c r="G28" s="17"/>
      <c r="H28" s="13"/>
      <c r="I28" s="13"/>
      <c r="J28" s="13"/>
      <c r="K28" s="13"/>
      <c r="L28" s="13"/>
      <c r="M28" s="13"/>
      <c r="N28" s="26"/>
      <c r="O28" s="10"/>
    </row>
    <row r="29" spans="1:15" x14ac:dyDescent="0.25">
      <c r="A29" s="37"/>
      <c r="B29" s="27" t="s">
        <v>62</v>
      </c>
      <c r="C29" s="17"/>
      <c r="D29" s="17"/>
      <c r="E29" s="17"/>
      <c r="F29" s="17"/>
      <c r="G29" s="17">
        <f>SUM(H29:N29)</f>
        <v>0</v>
      </c>
      <c r="H29" s="15" t="s">
        <v>66</v>
      </c>
      <c r="I29" s="15" t="s">
        <v>66</v>
      </c>
      <c r="J29" s="15" t="s">
        <v>66</v>
      </c>
      <c r="K29" s="15" t="s">
        <v>66</v>
      </c>
      <c r="L29" s="15"/>
      <c r="M29" s="15" t="s">
        <v>66</v>
      </c>
      <c r="N29" s="28" t="s">
        <v>66</v>
      </c>
      <c r="O29" s="10"/>
    </row>
    <row r="30" spans="1:15" ht="15.75" thickBot="1" x14ac:dyDescent="0.3">
      <c r="A30" s="38"/>
      <c r="B30" s="29" t="s">
        <v>68</v>
      </c>
      <c r="C30" s="30"/>
      <c r="D30" s="30"/>
      <c r="E30" s="30"/>
      <c r="F30" s="30"/>
      <c r="G30" s="30">
        <f>SUM(H30:N30)</f>
        <v>0</v>
      </c>
      <c r="H30" s="31"/>
      <c r="I30" s="31"/>
      <c r="J30" s="31"/>
      <c r="K30" s="31"/>
      <c r="L30" s="31"/>
      <c r="M30" s="31"/>
      <c r="N30" s="32"/>
      <c r="O30" s="10"/>
    </row>
    <row r="31" spans="1:15" x14ac:dyDescent="0.25">
      <c r="A31" s="36">
        <v>8</v>
      </c>
      <c r="B31" s="21" t="s">
        <v>30</v>
      </c>
      <c r="C31" s="22">
        <v>50</v>
      </c>
      <c r="D31" s="22">
        <v>350</v>
      </c>
      <c r="E31" s="22">
        <v>1350</v>
      </c>
      <c r="F31" s="22">
        <f>((D31+C31)*$O$2+E31)-G31+G33-G34</f>
        <v>400</v>
      </c>
      <c r="G31" s="22">
        <f>SUM(H31:N31)</f>
        <v>2550</v>
      </c>
      <c r="H31" s="23"/>
      <c r="I31" s="23"/>
      <c r="J31" s="23">
        <v>1050</v>
      </c>
      <c r="K31" s="23">
        <v>1500</v>
      </c>
      <c r="L31" s="23"/>
      <c r="M31" s="23"/>
      <c r="N31" s="24"/>
      <c r="O31" s="10"/>
    </row>
    <row r="32" spans="1:15" x14ac:dyDescent="0.25">
      <c r="A32" s="37"/>
      <c r="B32" s="25" t="s">
        <v>64</v>
      </c>
      <c r="C32" s="17"/>
      <c r="D32" s="17"/>
      <c r="E32" s="17"/>
      <c r="F32" s="17"/>
      <c r="G32" s="17"/>
      <c r="H32" s="13"/>
      <c r="I32" s="13"/>
      <c r="J32" s="13">
        <v>11</v>
      </c>
      <c r="K32" s="13">
        <v>15</v>
      </c>
      <c r="L32" s="13"/>
      <c r="M32" s="13"/>
      <c r="N32" s="26"/>
      <c r="O32" s="10"/>
    </row>
    <row r="33" spans="1:15" x14ac:dyDescent="0.25">
      <c r="A33" s="37"/>
      <c r="B33" s="27" t="s">
        <v>62</v>
      </c>
      <c r="C33" s="17"/>
      <c r="D33" s="17"/>
      <c r="E33" s="17"/>
      <c r="F33" s="17"/>
      <c r="G33" s="17">
        <f>SUM(H33:N33)</f>
        <v>0</v>
      </c>
      <c r="H33" s="15" t="s">
        <v>66</v>
      </c>
      <c r="I33" s="15" t="s">
        <v>66</v>
      </c>
      <c r="J33" s="15" t="s">
        <v>66</v>
      </c>
      <c r="K33" s="15" t="s">
        <v>66</v>
      </c>
      <c r="L33" s="15"/>
      <c r="M33" s="15" t="s">
        <v>66</v>
      </c>
      <c r="N33" s="28" t="s">
        <v>66</v>
      </c>
      <c r="O33" s="10"/>
    </row>
    <row r="34" spans="1:15" ht="15.75" thickBot="1" x14ac:dyDescent="0.3">
      <c r="A34" s="38"/>
      <c r="B34" s="29" t="s">
        <v>68</v>
      </c>
      <c r="C34" s="30"/>
      <c r="D34" s="30"/>
      <c r="E34" s="30"/>
      <c r="F34" s="30"/>
      <c r="G34" s="30">
        <f>SUM(H34:N34)</f>
        <v>0</v>
      </c>
      <c r="H34" s="31"/>
      <c r="I34" s="31"/>
      <c r="J34" s="31"/>
      <c r="K34" s="31"/>
      <c r="L34" s="31"/>
      <c r="M34" s="31"/>
      <c r="N34" s="32"/>
      <c r="O34" s="10"/>
    </row>
    <row r="35" spans="1:15" x14ac:dyDescent="0.25">
      <c r="A35" s="36">
        <v>9</v>
      </c>
      <c r="B35" s="21" t="s">
        <v>31</v>
      </c>
      <c r="C35" s="22">
        <v>50</v>
      </c>
      <c r="D35" s="22">
        <v>450</v>
      </c>
      <c r="E35" s="22">
        <v>500</v>
      </c>
      <c r="F35" s="22">
        <f>((D35+C35)*$O$2+E35)-G35+G37-G38</f>
        <v>0</v>
      </c>
      <c r="G35" s="22">
        <f>SUM(H35:N35)</f>
        <v>2500</v>
      </c>
      <c r="H35" s="23"/>
      <c r="I35" s="23">
        <v>500</v>
      </c>
      <c r="J35" s="23">
        <v>500</v>
      </c>
      <c r="K35" s="23">
        <v>1000</v>
      </c>
      <c r="L35" s="23">
        <v>500</v>
      </c>
      <c r="M35" s="23"/>
      <c r="N35" s="24"/>
      <c r="O35" s="10"/>
    </row>
    <row r="36" spans="1:15" x14ac:dyDescent="0.25">
      <c r="A36" s="37"/>
      <c r="B36" s="25" t="s">
        <v>64</v>
      </c>
      <c r="C36" s="17"/>
      <c r="D36" s="17"/>
      <c r="E36" s="17"/>
      <c r="F36" s="17"/>
      <c r="G36" s="17"/>
      <c r="H36" s="13"/>
      <c r="I36" s="13">
        <v>7</v>
      </c>
      <c r="J36" s="13">
        <v>7</v>
      </c>
      <c r="K36" s="13" t="s">
        <v>67</v>
      </c>
      <c r="L36" s="13">
        <v>4</v>
      </c>
      <c r="M36" s="13"/>
      <c r="N36" s="26"/>
      <c r="O36" s="10"/>
    </row>
    <row r="37" spans="1:15" x14ac:dyDescent="0.25">
      <c r="A37" s="37"/>
      <c r="B37" s="27" t="s">
        <v>62</v>
      </c>
      <c r="C37" s="17"/>
      <c r="D37" s="17"/>
      <c r="E37" s="17"/>
      <c r="F37" s="17"/>
      <c r="G37" s="17">
        <f>SUM(H37:N37)</f>
        <v>0</v>
      </c>
      <c r="H37" s="15" t="s">
        <v>66</v>
      </c>
      <c r="I37" s="15" t="s">
        <v>66</v>
      </c>
      <c r="J37" s="15" t="s">
        <v>66</v>
      </c>
      <c r="K37" s="15" t="s">
        <v>66</v>
      </c>
      <c r="L37" s="15" t="s">
        <v>66</v>
      </c>
      <c r="M37" s="15" t="s">
        <v>66</v>
      </c>
      <c r="N37" s="28" t="s">
        <v>66</v>
      </c>
      <c r="O37" s="10"/>
    </row>
    <row r="38" spans="1:15" ht="15.75" thickBot="1" x14ac:dyDescent="0.3">
      <c r="A38" s="38"/>
      <c r="B38" s="29" t="s">
        <v>68</v>
      </c>
      <c r="C38" s="30"/>
      <c r="D38" s="30"/>
      <c r="E38" s="30"/>
      <c r="F38" s="30"/>
      <c r="G38" s="30">
        <f>SUM(H38:N38)</f>
        <v>0</v>
      </c>
      <c r="H38" s="31"/>
      <c r="I38" s="31"/>
      <c r="J38" s="31"/>
      <c r="K38" s="31"/>
      <c r="L38" s="31"/>
      <c r="M38" s="31"/>
      <c r="N38" s="32"/>
      <c r="O38" s="10"/>
    </row>
    <row r="39" spans="1:15" x14ac:dyDescent="0.25">
      <c r="A39" s="36">
        <v>10</v>
      </c>
      <c r="B39" s="21" t="s">
        <v>32</v>
      </c>
      <c r="C39" s="22"/>
      <c r="D39" s="22">
        <v>450</v>
      </c>
      <c r="E39" s="22">
        <v>22150</v>
      </c>
      <c r="F39" s="22">
        <f>((D39+C39)*$O$2+E39)-G39+G41-G42</f>
        <v>24000</v>
      </c>
      <c r="G39" s="22">
        <f>SUM(H39:N39)</f>
        <v>0</v>
      </c>
      <c r="H39" s="23"/>
      <c r="I39" s="23"/>
      <c r="J39" s="23"/>
      <c r="K39" s="23"/>
      <c r="L39" s="23"/>
      <c r="M39" s="23"/>
      <c r="N39" s="24"/>
      <c r="O39" s="10"/>
    </row>
    <row r="40" spans="1:15" x14ac:dyDescent="0.25">
      <c r="A40" s="37"/>
      <c r="B40" s="25" t="s">
        <v>64</v>
      </c>
      <c r="C40" s="17"/>
      <c r="D40" s="17"/>
      <c r="E40" s="17"/>
      <c r="F40" s="17"/>
      <c r="G40" s="17"/>
      <c r="H40" s="13"/>
      <c r="I40" s="13"/>
      <c r="J40" s="13"/>
      <c r="K40" s="13"/>
      <c r="L40" s="13"/>
      <c r="M40" s="13"/>
      <c r="N40" s="26"/>
      <c r="O40" s="10"/>
    </row>
    <row r="41" spans="1:15" x14ac:dyDescent="0.25">
      <c r="A41" s="37"/>
      <c r="B41" s="27" t="s">
        <v>62</v>
      </c>
      <c r="C41" s="17"/>
      <c r="D41" s="17"/>
      <c r="E41" s="17"/>
      <c r="F41" s="17"/>
      <c r="G41" s="17">
        <f>SUM(H41:N41)</f>
        <v>50</v>
      </c>
      <c r="H41" s="15" t="s">
        <v>66</v>
      </c>
      <c r="I41" s="15" t="s">
        <v>66</v>
      </c>
      <c r="J41" s="15" t="s">
        <v>66</v>
      </c>
      <c r="K41" s="15">
        <v>50</v>
      </c>
      <c r="L41" s="15"/>
      <c r="M41" s="15" t="s">
        <v>66</v>
      </c>
      <c r="N41" s="28" t="s">
        <v>66</v>
      </c>
      <c r="O41" s="10"/>
    </row>
    <row r="42" spans="1:15" ht="15.75" thickBot="1" x14ac:dyDescent="0.3">
      <c r="A42" s="38"/>
      <c r="B42" s="29" t="s">
        <v>68</v>
      </c>
      <c r="C42" s="30"/>
      <c r="D42" s="30"/>
      <c r="E42" s="30"/>
      <c r="F42" s="30"/>
      <c r="G42" s="30">
        <f>SUM(H42:N42)</f>
        <v>0</v>
      </c>
      <c r="H42" s="31"/>
      <c r="I42" s="31"/>
      <c r="J42" s="31"/>
      <c r="K42" s="31"/>
      <c r="L42" s="31"/>
      <c r="M42" s="31"/>
      <c r="N42" s="32"/>
      <c r="O42" s="10"/>
    </row>
    <row r="43" spans="1:15" x14ac:dyDescent="0.25">
      <c r="A43" s="36">
        <v>11</v>
      </c>
      <c r="B43" s="21" t="s">
        <v>32</v>
      </c>
      <c r="C43" s="22"/>
      <c r="D43" s="22">
        <v>350</v>
      </c>
      <c r="E43" s="22">
        <v>22150</v>
      </c>
      <c r="F43" s="22">
        <f>((D43+C43)*$O$2+E43)-G43+G45-G46</f>
        <v>23600</v>
      </c>
      <c r="G43" s="22">
        <f>SUM(H43:N43)</f>
        <v>0</v>
      </c>
      <c r="H43" s="23"/>
      <c r="I43" s="23"/>
      <c r="J43" s="23"/>
      <c r="K43" s="23"/>
      <c r="L43" s="23"/>
      <c r="M43" s="23"/>
      <c r="N43" s="24"/>
      <c r="O43" s="10"/>
    </row>
    <row r="44" spans="1:15" x14ac:dyDescent="0.25">
      <c r="A44" s="37"/>
      <c r="B44" s="25" t="s">
        <v>64</v>
      </c>
      <c r="C44" s="17"/>
      <c r="D44" s="17"/>
      <c r="E44" s="17"/>
      <c r="F44" s="17"/>
      <c r="G44" s="17"/>
      <c r="H44" s="13"/>
      <c r="I44" s="13"/>
      <c r="J44" s="13"/>
      <c r="K44" s="13"/>
      <c r="L44" s="13"/>
      <c r="M44" s="13"/>
      <c r="N44" s="26"/>
      <c r="O44" s="10"/>
    </row>
    <row r="45" spans="1:15" x14ac:dyDescent="0.25">
      <c r="A45" s="37"/>
      <c r="B45" s="27" t="s">
        <v>62</v>
      </c>
      <c r="C45" s="17"/>
      <c r="D45" s="17"/>
      <c r="E45" s="17"/>
      <c r="F45" s="17"/>
      <c r="G45" s="17">
        <f>SUM(H45:N45)</f>
        <v>50</v>
      </c>
      <c r="H45" s="15" t="s">
        <v>66</v>
      </c>
      <c r="I45" s="15" t="s">
        <v>66</v>
      </c>
      <c r="J45" s="15" t="s">
        <v>66</v>
      </c>
      <c r="K45" s="15">
        <v>50</v>
      </c>
      <c r="L45" s="15"/>
      <c r="M45" s="15" t="s">
        <v>66</v>
      </c>
      <c r="N45" s="28" t="s">
        <v>66</v>
      </c>
      <c r="O45" s="10"/>
    </row>
    <row r="46" spans="1:15" ht="15.75" thickBot="1" x14ac:dyDescent="0.3">
      <c r="A46" s="38"/>
      <c r="B46" s="29" t="s">
        <v>68</v>
      </c>
      <c r="C46" s="30"/>
      <c r="D46" s="30"/>
      <c r="E46" s="30"/>
      <c r="F46" s="30"/>
      <c r="G46" s="30">
        <f>SUM(H46:N46)</f>
        <v>0</v>
      </c>
      <c r="H46" s="31"/>
      <c r="I46" s="31"/>
      <c r="J46" s="31"/>
      <c r="K46" s="31"/>
      <c r="L46" s="31"/>
      <c r="M46" s="31"/>
      <c r="N46" s="32"/>
      <c r="O46" s="10"/>
    </row>
    <row r="47" spans="1:15" x14ac:dyDescent="0.25">
      <c r="A47" s="36">
        <v>12</v>
      </c>
      <c r="B47" s="21" t="s">
        <v>33</v>
      </c>
      <c r="C47" s="22">
        <v>50</v>
      </c>
      <c r="D47" s="22">
        <v>350</v>
      </c>
      <c r="E47" s="22">
        <v>20450</v>
      </c>
      <c r="F47" s="22">
        <f>((D47+C47)*$O$2+E47)-G47+G49-G50</f>
        <v>20600</v>
      </c>
      <c r="G47" s="22">
        <f>SUM(H47:N47)</f>
        <v>1500</v>
      </c>
      <c r="H47" s="23"/>
      <c r="I47" s="23"/>
      <c r="J47" s="23"/>
      <c r="K47" s="23"/>
      <c r="L47" s="23">
        <v>1500</v>
      </c>
      <c r="M47" s="23"/>
      <c r="N47" s="24"/>
      <c r="O47" s="10"/>
    </row>
    <row r="48" spans="1:15" x14ac:dyDescent="0.25">
      <c r="A48" s="37"/>
      <c r="B48" s="25" t="s">
        <v>64</v>
      </c>
      <c r="C48" s="17"/>
      <c r="D48" s="17"/>
      <c r="E48" s="17"/>
      <c r="F48" s="17"/>
      <c r="G48" s="17"/>
      <c r="H48" s="13"/>
      <c r="I48" s="13"/>
      <c r="J48" s="13"/>
      <c r="K48" s="13"/>
      <c r="L48" s="13">
        <v>12</v>
      </c>
      <c r="M48" s="13"/>
      <c r="N48" s="26"/>
      <c r="O48" s="10"/>
    </row>
    <row r="49" spans="1:15" x14ac:dyDescent="0.25">
      <c r="A49" s="37"/>
      <c r="B49" s="27" t="s">
        <v>62</v>
      </c>
      <c r="C49" s="17"/>
      <c r="D49" s="17"/>
      <c r="E49" s="17"/>
      <c r="F49" s="17"/>
      <c r="G49" s="17">
        <f>SUM(H49:N49)</f>
        <v>50</v>
      </c>
      <c r="H49" s="15" t="s">
        <v>66</v>
      </c>
      <c r="I49" s="15" t="s">
        <v>66</v>
      </c>
      <c r="J49" s="15" t="s">
        <v>66</v>
      </c>
      <c r="K49" s="15">
        <v>50</v>
      </c>
      <c r="L49" s="15" t="s">
        <v>66</v>
      </c>
      <c r="M49" s="15" t="s">
        <v>66</v>
      </c>
      <c r="N49" s="28" t="s">
        <v>66</v>
      </c>
      <c r="O49" s="10"/>
    </row>
    <row r="50" spans="1:15" ht="15.75" thickBot="1" x14ac:dyDescent="0.3">
      <c r="A50" s="38"/>
      <c r="B50" s="29" t="s">
        <v>68</v>
      </c>
      <c r="C50" s="30"/>
      <c r="D50" s="30"/>
      <c r="E50" s="30"/>
      <c r="F50" s="30"/>
      <c r="G50" s="30">
        <f>SUM(H50:N50)</f>
        <v>0</v>
      </c>
      <c r="H50" s="31"/>
      <c r="I50" s="31"/>
      <c r="J50" s="31"/>
      <c r="K50" s="31"/>
      <c r="L50" s="31"/>
      <c r="M50" s="31"/>
      <c r="N50" s="32"/>
      <c r="O50" s="10"/>
    </row>
    <row r="51" spans="1:15" x14ac:dyDescent="0.25">
      <c r="A51" s="36">
        <v>13</v>
      </c>
      <c r="B51" s="21" t="s">
        <v>33</v>
      </c>
      <c r="C51" s="22">
        <v>50</v>
      </c>
      <c r="D51" s="22">
        <v>350</v>
      </c>
      <c r="E51" s="22">
        <v>20450</v>
      </c>
      <c r="F51" s="22">
        <f>((D51+C51)*$O$2+E51)-G51+G53-G54</f>
        <v>20600</v>
      </c>
      <c r="G51" s="22">
        <f>SUM(H51:N51)</f>
        <v>1500</v>
      </c>
      <c r="H51" s="23"/>
      <c r="I51" s="23"/>
      <c r="J51" s="23"/>
      <c r="K51" s="23"/>
      <c r="L51" s="23">
        <v>1500</v>
      </c>
      <c r="M51" s="23"/>
      <c r="N51" s="24"/>
      <c r="O51" s="10"/>
    </row>
    <row r="52" spans="1:15" x14ac:dyDescent="0.25">
      <c r="A52" s="37"/>
      <c r="B52" s="25" t="s">
        <v>64</v>
      </c>
      <c r="C52" s="17"/>
      <c r="D52" s="17"/>
      <c r="E52" s="17"/>
      <c r="F52" s="17"/>
      <c r="G52" s="17"/>
      <c r="H52" s="13"/>
      <c r="I52" s="13"/>
      <c r="J52" s="13"/>
      <c r="K52" s="13"/>
      <c r="L52" s="13">
        <v>12</v>
      </c>
      <c r="M52" s="13"/>
      <c r="N52" s="26"/>
      <c r="O52" s="10"/>
    </row>
    <row r="53" spans="1:15" x14ac:dyDescent="0.25">
      <c r="A53" s="37"/>
      <c r="B53" s="27" t="s">
        <v>62</v>
      </c>
      <c r="C53" s="17"/>
      <c r="D53" s="17"/>
      <c r="E53" s="17"/>
      <c r="F53" s="17"/>
      <c r="G53" s="17">
        <f>SUM(H53:N53)</f>
        <v>50</v>
      </c>
      <c r="H53" s="15" t="s">
        <v>66</v>
      </c>
      <c r="I53" s="15" t="s">
        <v>66</v>
      </c>
      <c r="J53" s="15" t="s">
        <v>66</v>
      </c>
      <c r="K53" s="15">
        <v>50</v>
      </c>
      <c r="L53" s="15" t="s">
        <v>66</v>
      </c>
      <c r="M53" s="15" t="s">
        <v>66</v>
      </c>
      <c r="N53" s="28" t="s">
        <v>66</v>
      </c>
      <c r="O53" s="10"/>
    </row>
    <row r="54" spans="1:15" ht="15.75" thickBot="1" x14ac:dyDescent="0.3">
      <c r="A54" s="38"/>
      <c r="B54" s="29" t="s">
        <v>68</v>
      </c>
      <c r="C54" s="30"/>
      <c r="D54" s="30"/>
      <c r="E54" s="30"/>
      <c r="F54" s="30"/>
      <c r="G54" s="30">
        <f>SUM(H54:N54)</f>
        <v>0</v>
      </c>
      <c r="H54" s="31"/>
      <c r="I54" s="31"/>
      <c r="J54" s="31"/>
      <c r="K54" s="31"/>
      <c r="L54" s="31"/>
      <c r="M54" s="31"/>
      <c r="N54" s="32"/>
      <c r="O54" s="10"/>
    </row>
    <row r="55" spans="1:15" x14ac:dyDescent="0.25">
      <c r="A55" s="36">
        <v>14</v>
      </c>
      <c r="B55" s="21" t="s">
        <v>34</v>
      </c>
      <c r="C55" s="22"/>
      <c r="D55" s="22">
        <v>350</v>
      </c>
      <c r="E55" s="22">
        <v>3900</v>
      </c>
      <c r="F55" s="22">
        <f>((D55+C55)*$O$2+E55)-G55+G57-G58</f>
        <v>350</v>
      </c>
      <c r="G55" s="22">
        <f>SUM(H55:N55)</f>
        <v>4950</v>
      </c>
      <c r="H55" s="23"/>
      <c r="I55" s="23"/>
      <c r="J55" s="23"/>
      <c r="K55" s="23">
        <v>4950</v>
      </c>
      <c r="L55" s="23"/>
      <c r="M55" s="23"/>
      <c r="N55" s="24"/>
      <c r="O55" s="10"/>
    </row>
    <row r="56" spans="1:15" x14ac:dyDescent="0.25">
      <c r="A56" s="37"/>
      <c r="B56" s="25" t="s">
        <v>64</v>
      </c>
      <c r="C56" s="17"/>
      <c r="D56" s="17"/>
      <c r="E56" s="17"/>
      <c r="F56" s="17"/>
      <c r="G56" s="17"/>
      <c r="H56" s="13"/>
      <c r="I56" s="13"/>
      <c r="J56" s="13"/>
      <c r="K56" s="13">
        <v>29</v>
      </c>
      <c r="L56" s="13"/>
      <c r="M56" s="13"/>
      <c r="N56" s="26"/>
      <c r="O56" s="10"/>
    </row>
    <row r="57" spans="1:15" x14ac:dyDescent="0.25">
      <c r="A57" s="37"/>
      <c r="B57" s="27" t="s">
        <v>62</v>
      </c>
      <c r="C57" s="17"/>
      <c r="D57" s="17"/>
      <c r="E57" s="17"/>
      <c r="F57" s="17"/>
      <c r="G57" s="17">
        <f>SUM(H57:N57)</f>
        <v>50</v>
      </c>
      <c r="H57" s="15" t="s">
        <v>66</v>
      </c>
      <c r="I57" s="15" t="s">
        <v>66</v>
      </c>
      <c r="J57" s="15" t="s">
        <v>66</v>
      </c>
      <c r="K57" s="15">
        <v>50</v>
      </c>
      <c r="L57" s="15"/>
      <c r="M57" s="15" t="s">
        <v>66</v>
      </c>
      <c r="N57" s="28" t="s">
        <v>66</v>
      </c>
      <c r="O57" s="10"/>
    </row>
    <row r="58" spans="1:15" ht="15.75" thickBot="1" x14ac:dyDescent="0.3">
      <c r="A58" s="38"/>
      <c r="B58" s="29" t="s">
        <v>68</v>
      </c>
      <c r="C58" s="30"/>
      <c r="D58" s="30"/>
      <c r="E58" s="30"/>
      <c r="F58" s="30"/>
      <c r="G58" s="30">
        <f>SUM(H58:N58)</f>
        <v>50</v>
      </c>
      <c r="H58" s="31"/>
      <c r="I58" s="31"/>
      <c r="J58" s="31"/>
      <c r="K58" s="31">
        <v>50</v>
      </c>
      <c r="L58" s="31"/>
      <c r="M58" s="31"/>
      <c r="N58" s="32"/>
      <c r="O58" s="10"/>
    </row>
    <row r="59" spans="1:15" x14ac:dyDescent="0.25">
      <c r="A59" s="36">
        <v>15</v>
      </c>
      <c r="B59" s="21" t="s">
        <v>35</v>
      </c>
      <c r="C59" s="22"/>
      <c r="D59" s="22">
        <v>350</v>
      </c>
      <c r="E59" s="22">
        <v>3150</v>
      </c>
      <c r="F59" s="22">
        <f>((D59+C59)*$O$2+E59)-G59+G61-G62</f>
        <v>3550</v>
      </c>
      <c r="G59" s="22">
        <f>SUM(H59:N59)</f>
        <v>1050</v>
      </c>
      <c r="H59" s="23"/>
      <c r="I59" s="23"/>
      <c r="J59" s="23">
        <v>1050</v>
      </c>
      <c r="K59" s="23"/>
      <c r="L59" s="23"/>
      <c r="M59" s="23"/>
      <c r="N59" s="24"/>
      <c r="O59" s="10"/>
    </row>
    <row r="60" spans="1:15" x14ac:dyDescent="0.25">
      <c r="A60" s="37"/>
      <c r="B60" s="25" t="s">
        <v>64</v>
      </c>
      <c r="C60" s="17"/>
      <c r="D60" s="17"/>
      <c r="E60" s="17"/>
      <c r="F60" s="17"/>
      <c r="G60" s="17"/>
      <c r="H60" s="13"/>
      <c r="I60" s="13"/>
      <c r="J60" s="13"/>
      <c r="K60" s="13"/>
      <c r="L60" s="13"/>
      <c r="M60" s="13"/>
      <c r="N60" s="26"/>
      <c r="O60" s="10"/>
    </row>
    <row r="61" spans="1:15" x14ac:dyDescent="0.25">
      <c r="A61" s="37"/>
      <c r="B61" s="27" t="s">
        <v>62</v>
      </c>
      <c r="C61" s="17"/>
      <c r="D61" s="17"/>
      <c r="E61" s="17"/>
      <c r="F61" s="17"/>
      <c r="G61" s="17">
        <f>SUM(H61:N61)</f>
        <v>50</v>
      </c>
      <c r="H61" s="15" t="s">
        <v>66</v>
      </c>
      <c r="I61" s="15" t="s">
        <v>66</v>
      </c>
      <c r="J61" s="15" t="s">
        <v>66</v>
      </c>
      <c r="K61" s="15">
        <v>50</v>
      </c>
      <c r="L61" s="15"/>
      <c r="M61" s="15" t="s">
        <v>66</v>
      </c>
      <c r="N61" s="28" t="s">
        <v>66</v>
      </c>
      <c r="O61" s="10"/>
    </row>
    <row r="62" spans="1:15" ht="15.75" thickBot="1" x14ac:dyDescent="0.3">
      <c r="A62" s="38"/>
      <c r="B62" s="29" t="s">
        <v>68</v>
      </c>
      <c r="C62" s="30"/>
      <c r="D62" s="30"/>
      <c r="E62" s="30"/>
      <c r="F62" s="30"/>
      <c r="G62" s="30">
        <f>SUM(H62:N62)</f>
        <v>0</v>
      </c>
      <c r="H62" s="31"/>
      <c r="I62" s="31"/>
      <c r="J62" s="31"/>
      <c r="K62" s="31"/>
      <c r="L62" s="31"/>
      <c r="M62" s="31"/>
      <c r="N62" s="32"/>
      <c r="O62" s="10"/>
    </row>
    <row r="63" spans="1:15" x14ac:dyDescent="0.25">
      <c r="A63" s="36">
        <v>16</v>
      </c>
      <c r="B63" s="21" t="s">
        <v>36</v>
      </c>
      <c r="C63" s="22"/>
      <c r="D63" s="22">
        <v>350</v>
      </c>
      <c r="E63" s="22">
        <v>2100</v>
      </c>
      <c r="F63" s="22">
        <f>((D63+C63)*$O$2+E63)-G63+G65-G66</f>
        <v>550</v>
      </c>
      <c r="G63" s="22">
        <f>SUM(H63:N63)</f>
        <v>3000</v>
      </c>
      <c r="H63" s="23"/>
      <c r="I63" s="23">
        <v>1000</v>
      </c>
      <c r="J63" s="23">
        <v>1000</v>
      </c>
      <c r="K63" s="23">
        <v>1000</v>
      </c>
      <c r="L63" s="23"/>
      <c r="M63" s="23"/>
      <c r="N63" s="24"/>
      <c r="O63" s="10"/>
    </row>
    <row r="64" spans="1:15" x14ac:dyDescent="0.25">
      <c r="A64" s="37"/>
      <c r="B64" s="25" t="s">
        <v>64</v>
      </c>
      <c r="C64" s="17"/>
      <c r="D64" s="17"/>
      <c r="E64" s="17"/>
      <c r="F64" s="17"/>
      <c r="G64" s="17"/>
      <c r="H64" s="13"/>
      <c r="I64" s="13">
        <v>1</v>
      </c>
      <c r="J64" s="13">
        <v>10</v>
      </c>
      <c r="K64" s="13">
        <v>21</v>
      </c>
      <c r="L64" s="13"/>
      <c r="M64" s="13"/>
      <c r="N64" s="26"/>
      <c r="O64" s="10"/>
    </row>
    <row r="65" spans="1:15" x14ac:dyDescent="0.25">
      <c r="A65" s="37"/>
      <c r="B65" s="27" t="s">
        <v>62</v>
      </c>
      <c r="C65" s="17"/>
      <c r="D65" s="17"/>
      <c r="E65" s="17"/>
      <c r="F65" s="17"/>
      <c r="G65" s="17">
        <f>SUM(H65:N65)</f>
        <v>50</v>
      </c>
      <c r="H65" s="15" t="s">
        <v>66</v>
      </c>
      <c r="I65" s="15" t="s">
        <v>66</v>
      </c>
      <c r="J65" s="15" t="s">
        <v>66</v>
      </c>
      <c r="K65" s="15">
        <v>50</v>
      </c>
      <c r="L65" s="15"/>
      <c r="M65" s="15" t="s">
        <v>66</v>
      </c>
      <c r="N65" s="28" t="s">
        <v>66</v>
      </c>
      <c r="O65" s="10"/>
    </row>
    <row r="66" spans="1:15" ht="15.75" thickBot="1" x14ac:dyDescent="0.3">
      <c r="A66" s="38"/>
      <c r="B66" s="29" t="s">
        <v>68</v>
      </c>
      <c r="C66" s="30"/>
      <c r="D66" s="30"/>
      <c r="E66" s="30"/>
      <c r="F66" s="30"/>
      <c r="G66" s="30">
        <f>SUM(H66:N66)</f>
        <v>0</v>
      </c>
      <c r="H66" s="31"/>
      <c r="I66" s="31"/>
      <c r="J66" s="31"/>
      <c r="K66" s="31"/>
      <c r="L66" s="31"/>
      <c r="M66" s="31"/>
      <c r="N66" s="32"/>
      <c r="O66" s="10"/>
    </row>
    <row r="67" spans="1:15" x14ac:dyDescent="0.25">
      <c r="A67" s="36">
        <v>17</v>
      </c>
      <c r="B67" s="21" t="s">
        <v>37</v>
      </c>
      <c r="C67" s="22"/>
      <c r="D67" s="22">
        <v>350</v>
      </c>
      <c r="E67" s="22">
        <v>14800</v>
      </c>
      <c r="F67" s="22">
        <f>((D67+C67)*$O$2+E67)-G67+G69-G70</f>
        <v>13800</v>
      </c>
      <c r="G67" s="22">
        <f>SUM(H67:N67)</f>
        <v>2450</v>
      </c>
      <c r="H67" s="23"/>
      <c r="I67" s="23"/>
      <c r="J67" s="23">
        <v>2100</v>
      </c>
      <c r="K67" s="23"/>
      <c r="L67" s="23">
        <v>350</v>
      </c>
      <c r="M67" s="23"/>
      <c r="N67" s="24"/>
      <c r="O67" s="10"/>
    </row>
    <row r="68" spans="1:15" x14ac:dyDescent="0.25">
      <c r="A68" s="37"/>
      <c r="B68" s="25" t="s">
        <v>64</v>
      </c>
      <c r="C68" s="17"/>
      <c r="D68" s="17"/>
      <c r="E68" s="17"/>
      <c r="F68" s="17"/>
      <c r="G68" s="17"/>
      <c r="H68" s="13"/>
      <c r="I68" s="13"/>
      <c r="J68" s="13">
        <v>25</v>
      </c>
      <c r="K68" s="13"/>
      <c r="L68" s="13">
        <v>4</v>
      </c>
      <c r="M68" s="13"/>
      <c r="N68" s="26"/>
      <c r="O68" s="10"/>
    </row>
    <row r="69" spans="1:15" x14ac:dyDescent="0.25">
      <c r="A69" s="37"/>
      <c r="B69" s="27" t="s">
        <v>62</v>
      </c>
      <c r="C69" s="17"/>
      <c r="D69" s="17"/>
      <c r="E69" s="17"/>
      <c r="F69" s="17"/>
      <c r="G69" s="17">
        <f>SUM(H69:N69)</f>
        <v>50</v>
      </c>
      <c r="H69" s="15" t="s">
        <v>66</v>
      </c>
      <c r="I69" s="15" t="s">
        <v>66</v>
      </c>
      <c r="J69" s="15"/>
      <c r="K69" s="15">
        <v>50</v>
      </c>
      <c r="L69" s="15" t="s">
        <v>66</v>
      </c>
      <c r="M69" s="15" t="s">
        <v>66</v>
      </c>
      <c r="N69" s="28" t="s">
        <v>66</v>
      </c>
      <c r="O69" s="10"/>
    </row>
    <row r="70" spans="1:15" ht="15.75" thickBot="1" x14ac:dyDescent="0.3">
      <c r="A70" s="38"/>
      <c r="B70" s="29" t="s">
        <v>68</v>
      </c>
      <c r="C70" s="30"/>
      <c r="D70" s="30"/>
      <c r="E70" s="30"/>
      <c r="F70" s="30"/>
      <c r="G70" s="30">
        <f>SUM(H70:N70)</f>
        <v>0</v>
      </c>
      <c r="H70" s="31"/>
      <c r="I70" s="31"/>
      <c r="J70" s="31"/>
      <c r="K70" s="31"/>
      <c r="L70" s="31"/>
      <c r="M70" s="31"/>
      <c r="N70" s="32"/>
      <c r="O70" s="10"/>
    </row>
    <row r="71" spans="1:15" x14ac:dyDescent="0.25">
      <c r="A71" s="36">
        <v>18</v>
      </c>
      <c r="B71" s="21" t="s">
        <v>38</v>
      </c>
      <c r="C71" s="22"/>
      <c r="D71" s="22">
        <v>450</v>
      </c>
      <c r="E71" s="22">
        <v>3150</v>
      </c>
      <c r="F71" s="22">
        <f>((D71+C71)*$O$2+E71)-G71+G73-G74</f>
        <v>4000</v>
      </c>
      <c r="G71" s="22">
        <f>SUM(H71:N71)</f>
        <v>1000</v>
      </c>
      <c r="H71" s="23"/>
      <c r="I71" s="23">
        <v>1000</v>
      </c>
      <c r="J71" s="23"/>
      <c r="K71" s="23"/>
      <c r="L71" s="23"/>
      <c r="M71" s="23"/>
      <c r="N71" s="24"/>
      <c r="O71" s="10"/>
    </row>
    <row r="72" spans="1:15" x14ac:dyDescent="0.25">
      <c r="A72" s="37"/>
      <c r="B72" s="25" t="s">
        <v>64</v>
      </c>
      <c r="C72" s="17"/>
      <c r="D72" s="17"/>
      <c r="E72" s="17"/>
      <c r="F72" s="17"/>
      <c r="G72" s="17"/>
      <c r="H72" s="13"/>
      <c r="I72" s="13">
        <v>19</v>
      </c>
      <c r="J72" s="13"/>
      <c r="K72" s="13"/>
      <c r="L72" s="13"/>
      <c r="M72" s="13"/>
      <c r="N72" s="26"/>
      <c r="O72" s="10"/>
    </row>
    <row r="73" spans="1:15" x14ac:dyDescent="0.25">
      <c r="A73" s="37"/>
      <c r="B73" s="27" t="s">
        <v>62</v>
      </c>
      <c r="C73" s="17"/>
      <c r="D73" s="17"/>
      <c r="E73" s="17"/>
      <c r="F73" s="17"/>
      <c r="G73" s="17">
        <f>SUM(H73:N73)</f>
        <v>50</v>
      </c>
      <c r="H73" s="15" t="s">
        <v>66</v>
      </c>
      <c r="I73" s="15"/>
      <c r="J73" s="15" t="s">
        <v>66</v>
      </c>
      <c r="K73" s="15">
        <v>50</v>
      </c>
      <c r="L73" s="15"/>
      <c r="M73" s="15" t="s">
        <v>66</v>
      </c>
      <c r="N73" s="28" t="s">
        <v>66</v>
      </c>
      <c r="O73" s="10"/>
    </row>
    <row r="74" spans="1:15" ht="15.75" thickBot="1" x14ac:dyDescent="0.3">
      <c r="A74" s="38"/>
      <c r="B74" s="29" t="s">
        <v>68</v>
      </c>
      <c r="C74" s="30"/>
      <c r="D74" s="30"/>
      <c r="E74" s="30"/>
      <c r="F74" s="30"/>
      <c r="G74" s="30">
        <f>SUM(H74:N74)</f>
        <v>0</v>
      </c>
      <c r="H74" s="31"/>
      <c r="I74" s="31"/>
      <c r="J74" s="31"/>
      <c r="K74" s="31"/>
      <c r="L74" s="31"/>
      <c r="M74" s="31"/>
      <c r="N74" s="32"/>
      <c r="O74" s="10"/>
    </row>
    <row r="75" spans="1:15" x14ac:dyDescent="0.25">
      <c r="A75" s="36">
        <v>19</v>
      </c>
      <c r="B75" s="21" t="s">
        <v>39</v>
      </c>
      <c r="C75" s="22">
        <v>50</v>
      </c>
      <c r="D75" s="22">
        <v>450</v>
      </c>
      <c r="E75" s="22">
        <v>5250</v>
      </c>
      <c r="F75" s="22">
        <f>((D75+C75)*$O$2+E75)-G75+G77-G78</f>
        <v>3600</v>
      </c>
      <c r="G75" s="22">
        <f>SUM(H75:N75)</f>
        <v>3700</v>
      </c>
      <c r="H75" s="23"/>
      <c r="I75" s="23">
        <v>900</v>
      </c>
      <c r="J75" s="23">
        <v>900</v>
      </c>
      <c r="K75" s="23">
        <v>900</v>
      </c>
      <c r="L75" s="23">
        <v>1000</v>
      </c>
      <c r="M75" s="23"/>
      <c r="N75" s="24"/>
      <c r="O75" s="10"/>
    </row>
    <row r="76" spans="1:15" x14ac:dyDescent="0.25">
      <c r="A76" s="37"/>
      <c r="B76" s="25" t="s">
        <v>64</v>
      </c>
      <c r="C76" s="17"/>
      <c r="D76" s="17"/>
      <c r="E76" s="17"/>
      <c r="F76" s="17"/>
      <c r="G76" s="17"/>
      <c r="H76" s="13"/>
      <c r="I76" s="13">
        <v>15</v>
      </c>
      <c r="J76" s="13">
        <v>21</v>
      </c>
      <c r="K76" s="13">
        <v>17</v>
      </c>
      <c r="L76" s="13">
        <v>6</v>
      </c>
      <c r="M76" s="13"/>
      <c r="N76" s="26"/>
      <c r="O76" s="10"/>
    </row>
    <row r="77" spans="1:15" x14ac:dyDescent="0.25">
      <c r="A77" s="37"/>
      <c r="B77" s="27" t="s">
        <v>62</v>
      </c>
      <c r="C77" s="17"/>
      <c r="D77" s="17"/>
      <c r="E77" s="17"/>
      <c r="F77" s="17"/>
      <c r="G77" s="17">
        <f>SUM(H77:N77)</f>
        <v>50</v>
      </c>
      <c r="H77" s="15" t="s">
        <v>66</v>
      </c>
      <c r="I77" s="15" t="s">
        <v>66</v>
      </c>
      <c r="J77" s="15"/>
      <c r="K77" s="15">
        <v>50</v>
      </c>
      <c r="L77" s="15" t="s">
        <v>66</v>
      </c>
      <c r="M77" s="15" t="s">
        <v>66</v>
      </c>
      <c r="N77" s="28" t="s">
        <v>66</v>
      </c>
      <c r="O77" s="10"/>
    </row>
    <row r="78" spans="1:15" ht="15.75" thickBot="1" x14ac:dyDescent="0.3">
      <c r="A78" s="38"/>
      <c r="B78" s="29" t="s">
        <v>68</v>
      </c>
      <c r="C78" s="30"/>
      <c r="D78" s="30"/>
      <c r="E78" s="30"/>
      <c r="F78" s="30"/>
      <c r="G78" s="30">
        <f>SUM(H78:N78)</f>
        <v>0</v>
      </c>
      <c r="H78" s="31"/>
      <c r="I78" s="31"/>
      <c r="J78" s="31"/>
      <c r="K78" s="31"/>
      <c r="L78" s="31"/>
      <c r="M78" s="31"/>
      <c r="N78" s="32"/>
      <c r="O78" s="10"/>
    </row>
    <row r="79" spans="1:15" x14ac:dyDescent="0.25">
      <c r="A79" s="36">
        <v>20</v>
      </c>
      <c r="B79" s="21" t="s">
        <v>40</v>
      </c>
      <c r="C79" s="22">
        <v>50</v>
      </c>
      <c r="D79" s="22">
        <v>350</v>
      </c>
      <c r="E79" s="22">
        <v>1600</v>
      </c>
      <c r="F79" s="22">
        <f>((D79+C79)*$O$2+E79)-G79+G81-G82</f>
        <v>0</v>
      </c>
      <c r="G79" s="22">
        <f>SUM(H79:N79)</f>
        <v>3200</v>
      </c>
      <c r="H79" s="23"/>
      <c r="I79" s="23"/>
      <c r="J79" s="23"/>
      <c r="K79" s="23">
        <v>2800</v>
      </c>
      <c r="L79" s="23">
        <v>400</v>
      </c>
      <c r="M79" s="23"/>
      <c r="N79" s="24"/>
      <c r="O79" s="10"/>
    </row>
    <row r="80" spans="1:15" x14ac:dyDescent="0.25">
      <c r="A80" s="37"/>
      <c r="B80" s="25" t="s">
        <v>64</v>
      </c>
      <c r="C80" s="17"/>
      <c r="D80" s="17"/>
      <c r="E80" s="17"/>
      <c r="F80" s="17"/>
      <c r="G80" s="17"/>
      <c r="H80" s="13"/>
      <c r="I80" s="13"/>
      <c r="J80" s="13"/>
      <c r="K80" s="13">
        <v>13</v>
      </c>
      <c r="L80" s="13">
        <v>10</v>
      </c>
      <c r="M80" s="13"/>
      <c r="N80" s="26"/>
      <c r="O80" s="10"/>
    </row>
    <row r="81" spans="1:15" x14ac:dyDescent="0.25">
      <c r="A81" s="37"/>
      <c r="B81" s="27" t="s">
        <v>62</v>
      </c>
      <c r="C81" s="17"/>
      <c r="D81" s="17"/>
      <c r="E81" s="17"/>
      <c r="F81" s="17"/>
      <c r="G81" s="17">
        <f>SUM(H81:N81)</f>
        <v>0</v>
      </c>
      <c r="H81" s="15" t="s">
        <v>66</v>
      </c>
      <c r="I81" s="15" t="s">
        <v>66</v>
      </c>
      <c r="J81" s="15" t="s">
        <v>66</v>
      </c>
      <c r="K81" s="15" t="s">
        <v>66</v>
      </c>
      <c r="L81" s="15" t="s">
        <v>66</v>
      </c>
      <c r="M81" s="15" t="s">
        <v>66</v>
      </c>
      <c r="N81" s="28" t="s">
        <v>66</v>
      </c>
      <c r="O81" s="10"/>
    </row>
    <row r="82" spans="1:15" ht="15.75" thickBot="1" x14ac:dyDescent="0.3">
      <c r="A82" s="38"/>
      <c r="B82" s="29" t="s">
        <v>68</v>
      </c>
      <c r="C82" s="30"/>
      <c r="D82" s="30"/>
      <c r="E82" s="30"/>
      <c r="F82" s="30"/>
      <c r="G82" s="30">
        <f>SUM(H82:N82)</f>
        <v>0</v>
      </c>
      <c r="H82" s="31"/>
      <c r="I82" s="31"/>
      <c r="J82" s="31"/>
      <c r="K82" s="31"/>
      <c r="L82" s="31"/>
      <c r="M82" s="31"/>
      <c r="N82" s="32"/>
      <c r="O82" s="10"/>
    </row>
    <row r="83" spans="1:15" x14ac:dyDescent="0.25">
      <c r="A83" s="36">
        <v>21</v>
      </c>
      <c r="B83" s="21" t="s">
        <v>41</v>
      </c>
      <c r="C83" s="22"/>
      <c r="D83" s="22">
        <v>350</v>
      </c>
      <c r="E83" s="22">
        <v>6100</v>
      </c>
      <c r="F83" s="22">
        <f>((D83+C83)*$O$2+E83)-G83+G85-G86</f>
        <v>4050</v>
      </c>
      <c r="G83" s="22">
        <f>SUM(H83:N83)</f>
        <v>3500</v>
      </c>
      <c r="H83" s="23"/>
      <c r="I83" s="23"/>
      <c r="J83" s="23">
        <v>3500</v>
      </c>
      <c r="K83" s="23"/>
      <c r="L83" s="23"/>
      <c r="M83" s="23"/>
      <c r="N83" s="24"/>
      <c r="O83" s="10"/>
    </row>
    <row r="84" spans="1:15" x14ac:dyDescent="0.25">
      <c r="A84" s="37"/>
      <c r="B84" s="25" t="s">
        <v>64</v>
      </c>
      <c r="C84" s="17"/>
      <c r="D84" s="17"/>
      <c r="E84" s="17"/>
      <c r="F84" s="17"/>
      <c r="G84" s="17"/>
      <c r="H84" s="13"/>
      <c r="I84" s="13"/>
      <c r="J84" s="13"/>
      <c r="K84" s="13"/>
      <c r="L84" s="13"/>
      <c r="M84" s="13"/>
      <c r="N84" s="26"/>
      <c r="O84" s="10"/>
    </row>
    <row r="85" spans="1:15" x14ac:dyDescent="0.25">
      <c r="A85" s="37"/>
      <c r="B85" s="27" t="s">
        <v>62</v>
      </c>
      <c r="C85" s="17"/>
      <c r="D85" s="17"/>
      <c r="E85" s="17"/>
      <c r="F85" s="17"/>
      <c r="G85" s="17">
        <f>SUM(H85:N85)</f>
        <v>50</v>
      </c>
      <c r="H85" s="15" t="s">
        <v>66</v>
      </c>
      <c r="I85" s="15" t="s">
        <v>66</v>
      </c>
      <c r="J85" s="15" t="s">
        <v>66</v>
      </c>
      <c r="K85" s="15">
        <v>50</v>
      </c>
      <c r="L85" s="15"/>
      <c r="M85" s="15" t="s">
        <v>66</v>
      </c>
      <c r="N85" s="28" t="s">
        <v>66</v>
      </c>
      <c r="O85" s="10"/>
    </row>
    <row r="86" spans="1:15" ht="15.75" thickBot="1" x14ac:dyDescent="0.3">
      <c r="A86" s="38"/>
      <c r="B86" s="29" t="s">
        <v>68</v>
      </c>
      <c r="C86" s="30"/>
      <c r="D86" s="30"/>
      <c r="E86" s="30"/>
      <c r="F86" s="30"/>
      <c r="G86" s="30">
        <f>SUM(H86:N86)</f>
        <v>0</v>
      </c>
      <c r="H86" s="31"/>
      <c r="I86" s="31"/>
      <c r="J86" s="31"/>
      <c r="K86" s="31"/>
      <c r="L86" s="31"/>
      <c r="M86" s="31"/>
      <c r="N86" s="32"/>
      <c r="O86" s="10"/>
    </row>
    <row r="87" spans="1:15" x14ac:dyDescent="0.25">
      <c r="A87" s="36">
        <v>22</v>
      </c>
      <c r="B87" s="21" t="s">
        <v>41</v>
      </c>
      <c r="C87" s="22"/>
      <c r="D87" s="22">
        <v>350</v>
      </c>
      <c r="E87" s="22">
        <v>6100</v>
      </c>
      <c r="F87" s="22">
        <f>((D87+C87)*$O$2+E87)-G87+G89-G90</f>
        <v>7550</v>
      </c>
      <c r="G87" s="22">
        <f>SUM(H87:N87)</f>
        <v>0</v>
      </c>
      <c r="H87" s="23"/>
      <c r="I87" s="23"/>
      <c r="J87" s="23"/>
      <c r="K87" s="23"/>
      <c r="L87" s="23"/>
      <c r="M87" s="23"/>
      <c r="N87" s="24"/>
      <c r="O87" s="10"/>
    </row>
    <row r="88" spans="1:15" x14ac:dyDescent="0.25">
      <c r="A88" s="37"/>
      <c r="B88" s="25" t="s">
        <v>64</v>
      </c>
      <c r="C88" s="17"/>
      <c r="D88" s="17"/>
      <c r="E88" s="17"/>
      <c r="F88" s="17"/>
      <c r="G88" s="17"/>
      <c r="H88" s="13"/>
      <c r="I88" s="13"/>
      <c r="J88" s="13"/>
      <c r="K88" s="13"/>
      <c r="L88" s="13"/>
      <c r="M88" s="13"/>
      <c r="N88" s="26"/>
      <c r="O88" s="10"/>
    </row>
    <row r="89" spans="1:15" x14ac:dyDescent="0.25">
      <c r="A89" s="37"/>
      <c r="B89" s="27" t="s">
        <v>62</v>
      </c>
      <c r="C89" s="17"/>
      <c r="D89" s="17"/>
      <c r="E89" s="17"/>
      <c r="F89" s="17"/>
      <c r="G89" s="17">
        <f>SUM(H89:N89)</f>
        <v>50</v>
      </c>
      <c r="H89" s="15" t="s">
        <v>66</v>
      </c>
      <c r="I89" s="15" t="s">
        <v>66</v>
      </c>
      <c r="J89" s="15" t="s">
        <v>66</v>
      </c>
      <c r="K89" s="15">
        <v>50</v>
      </c>
      <c r="L89" s="15"/>
      <c r="M89" s="15" t="s">
        <v>66</v>
      </c>
      <c r="N89" s="28" t="s">
        <v>66</v>
      </c>
      <c r="O89" s="10"/>
    </row>
    <row r="90" spans="1:15" ht="15.75" thickBot="1" x14ac:dyDescent="0.3">
      <c r="A90" s="38"/>
      <c r="B90" s="29" t="s">
        <v>68</v>
      </c>
      <c r="C90" s="30"/>
      <c r="D90" s="30"/>
      <c r="E90" s="30"/>
      <c r="F90" s="30"/>
      <c r="G90" s="30">
        <f>SUM(H90:N90)</f>
        <v>0</v>
      </c>
      <c r="H90" s="31"/>
      <c r="I90" s="31"/>
      <c r="J90" s="31"/>
      <c r="K90" s="31"/>
      <c r="L90" s="31"/>
      <c r="M90" s="31"/>
      <c r="N90" s="32"/>
      <c r="O90" s="10"/>
    </row>
    <row r="91" spans="1:15" x14ac:dyDescent="0.25">
      <c r="A91" s="36">
        <v>23</v>
      </c>
      <c r="B91" s="21" t="s">
        <v>42</v>
      </c>
      <c r="C91" s="22">
        <v>50</v>
      </c>
      <c r="D91" s="22">
        <v>350</v>
      </c>
      <c r="E91" s="22">
        <v>2000</v>
      </c>
      <c r="F91" s="22">
        <f>((D91+C91)*$O$2+E91)-G91+G93-G94</f>
        <v>2400</v>
      </c>
      <c r="G91" s="22">
        <f>SUM(H91:N91)</f>
        <v>1200</v>
      </c>
      <c r="H91" s="23"/>
      <c r="I91" s="23">
        <v>400</v>
      </c>
      <c r="J91" s="23">
        <v>400</v>
      </c>
      <c r="K91" s="23">
        <v>400</v>
      </c>
      <c r="L91" s="23"/>
      <c r="M91" s="23"/>
      <c r="N91" s="24"/>
      <c r="O91" s="10"/>
    </row>
    <row r="92" spans="1:15" x14ac:dyDescent="0.25">
      <c r="A92" s="37"/>
      <c r="B92" s="25" t="s">
        <v>64</v>
      </c>
      <c r="C92" s="17"/>
      <c r="D92" s="17"/>
      <c r="E92" s="17"/>
      <c r="F92" s="17"/>
      <c r="G92" s="17"/>
      <c r="H92" s="13"/>
      <c r="I92" s="13">
        <v>7</v>
      </c>
      <c r="J92" s="13">
        <v>17</v>
      </c>
      <c r="K92" s="13">
        <v>12</v>
      </c>
      <c r="L92" s="13"/>
      <c r="M92" s="13"/>
      <c r="N92" s="26"/>
      <c r="O92" s="10"/>
    </row>
    <row r="93" spans="1:15" x14ac:dyDescent="0.25">
      <c r="A93" s="37"/>
      <c r="B93" s="27" t="s">
        <v>62</v>
      </c>
      <c r="C93" s="17"/>
      <c r="D93" s="17"/>
      <c r="E93" s="17"/>
      <c r="F93" s="17"/>
      <c r="G93" s="17">
        <f>SUM(H93:N93)</f>
        <v>0</v>
      </c>
      <c r="H93" s="15" t="s">
        <v>66</v>
      </c>
      <c r="I93" s="15" t="s">
        <v>66</v>
      </c>
      <c r="J93" s="15"/>
      <c r="K93" s="15" t="s">
        <v>66</v>
      </c>
      <c r="L93" s="15"/>
      <c r="M93" s="15" t="s">
        <v>66</v>
      </c>
      <c r="N93" s="28" t="s">
        <v>66</v>
      </c>
      <c r="O93" s="10"/>
    </row>
    <row r="94" spans="1:15" ht="15.75" thickBot="1" x14ac:dyDescent="0.3">
      <c r="A94" s="38"/>
      <c r="B94" s="29" t="s">
        <v>68</v>
      </c>
      <c r="C94" s="30"/>
      <c r="D94" s="30"/>
      <c r="E94" s="30"/>
      <c r="F94" s="30"/>
      <c r="G94" s="30">
        <f>SUM(H94:N94)</f>
        <v>0</v>
      </c>
      <c r="H94" s="31"/>
      <c r="I94" s="31"/>
      <c r="J94" s="31"/>
      <c r="K94" s="31"/>
      <c r="L94" s="31"/>
      <c r="M94" s="31"/>
      <c r="N94" s="32"/>
      <c r="O94" s="10"/>
    </row>
    <row r="95" spans="1:15" x14ac:dyDescent="0.25">
      <c r="A95" s="36">
        <v>24</v>
      </c>
      <c r="B95" s="21" t="s">
        <v>43</v>
      </c>
      <c r="C95" s="22">
        <v>50</v>
      </c>
      <c r="D95" s="22">
        <v>350</v>
      </c>
      <c r="E95" s="22">
        <v>1200</v>
      </c>
      <c r="F95" s="22">
        <f>((D95+C95)*$O$2+E95)-G95+G97-G98</f>
        <v>1200</v>
      </c>
      <c r="G95" s="22">
        <f>SUM(H95:N95)</f>
        <v>1600</v>
      </c>
      <c r="H95" s="23"/>
      <c r="I95" s="23"/>
      <c r="J95" s="23"/>
      <c r="K95" s="23">
        <v>800</v>
      </c>
      <c r="L95" s="23">
        <v>800</v>
      </c>
      <c r="M95" s="23"/>
      <c r="N95" s="24"/>
      <c r="O95" s="10"/>
    </row>
    <row r="96" spans="1:15" x14ac:dyDescent="0.25">
      <c r="A96" s="37"/>
      <c r="B96" s="25" t="s">
        <v>64</v>
      </c>
      <c r="C96" s="17"/>
      <c r="D96" s="17"/>
      <c r="E96" s="17"/>
      <c r="F96" s="17"/>
      <c r="G96" s="17"/>
      <c r="H96" s="13"/>
      <c r="I96" s="13"/>
      <c r="J96" s="13"/>
      <c r="K96" s="13">
        <v>14</v>
      </c>
      <c r="L96" s="13">
        <v>10</v>
      </c>
      <c r="M96" s="13"/>
      <c r="N96" s="26"/>
      <c r="O96" s="10"/>
    </row>
    <row r="97" spans="1:15" x14ac:dyDescent="0.25">
      <c r="A97" s="37"/>
      <c r="B97" s="27" t="s">
        <v>62</v>
      </c>
      <c r="C97" s="17"/>
      <c r="D97" s="17"/>
      <c r="E97" s="17"/>
      <c r="F97" s="17"/>
      <c r="G97" s="17">
        <f>SUM(H97:N97)</f>
        <v>0</v>
      </c>
      <c r="H97" s="15" t="s">
        <v>66</v>
      </c>
      <c r="I97" s="15" t="s">
        <v>66</v>
      </c>
      <c r="J97" s="15" t="s">
        <v>66</v>
      </c>
      <c r="K97" s="15" t="s">
        <v>66</v>
      </c>
      <c r="L97" s="15" t="s">
        <v>66</v>
      </c>
      <c r="M97" s="15" t="s">
        <v>66</v>
      </c>
      <c r="N97" s="28" t="s">
        <v>66</v>
      </c>
      <c r="O97" s="10"/>
    </row>
    <row r="98" spans="1:15" ht="15.75" thickBot="1" x14ac:dyDescent="0.3">
      <c r="A98" s="38"/>
      <c r="B98" s="29" t="s">
        <v>68</v>
      </c>
      <c r="C98" s="30"/>
      <c r="D98" s="30"/>
      <c r="E98" s="30"/>
      <c r="F98" s="30"/>
      <c r="G98" s="30">
        <f>SUM(H98:N98)</f>
        <v>0</v>
      </c>
      <c r="H98" s="31"/>
      <c r="I98" s="31"/>
      <c r="J98" s="31"/>
      <c r="K98" s="31"/>
      <c r="L98" s="31"/>
      <c r="M98" s="31"/>
      <c r="N98" s="32"/>
      <c r="O98" s="10"/>
    </row>
    <row r="99" spans="1:15" x14ac:dyDescent="0.25">
      <c r="A99" s="36">
        <v>25</v>
      </c>
      <c r="B99" s="21" t="s">
        <v>44</v>
      </c>
      <c r="C99" s="22">
        <v>50</v>
      </c>
      <c r="D99" s="22">
        <v>350</v>
      </c>
      <c r="E99" s="22">
        <v>6650</v>
      </c>
      <c r="F99" s="22">
        <f>((D99+C99)*$O$2+E99)-G99+G101-G102</f>
        <v>3500</v>
      </c>
      <c r="G99" s="22">
        <f>SUM(H99:N99)</f>
        <v>4800</v>
      </c>
      <c r="H99" s="23"/>
      <c r="I99" s="23"/>
      <c r="J99" s="23">
        <v>2800</v>
      </c>
      <c r="K99" s="23">
        <v>2000</v>
      </c>
      <c r="L99" s="23"/>
      <c r="M99" s="23"/>
      <c r="N99" s="24"/>
      <c r="O99" s="10"/>
    </row>
    <row r="100" spans="1:15" x14ac:dyDescent="0.25">
      <c r="A100" s="37"/>
      <c r="B100" s="25" t="s">
        <v>64</v>
      </c>
      <c r="C100" s="17"/>
      <c r="D100" s="17"/>
      <c r="E100" s="17"/>
      <c r="F100" s="17"/>
      <c r="G100" s="17"/>
      <c r="H100" s="13"/>
      <c r="I100" s="13"/>
      <c r="J100" s="13">
        <v>5</v>
      </c>
      <c r="K100" s="13">
        <v>16</v>
      </c>
      <c r="L100" s="13"/>
      <c r="M100" s="13"/>
      <c r="N100" s="26"/>
      <c r="O100" s="10"/>
    </row>
    <row r="101" spans="1:15" x14ac:dyDescent="0.25">
      <c r="A101" s="37"/>
      <c r="B101" s="27" t="s">
        <v>62</v>
      </c>
      <c r="C101" s="17"/>
      <c r="D101" s="17"/>
      <c r="E101" s="17"/>
      <c r="F101" s="17"/>
      <c r="G101" s="17">
        <f>SUM(H101:N101)</f>
        <v>50</v>
      </c>
      <c r="H101" s="15" t="s">
        <v>66</v>
      </c>
      <c r="I101" s="15" t="s">
        <v>66</v>
      </c>
      <c r="J101" s="15" t="s">
        <v>66</v>
      </c>
      <c r="K101" s="15">
        <v>50</v>
      </c>
      <c r="L101" s="15"/>
      <c r="M101" s="15" t="s">
        <v>66</v>
      </c>
      <c r="N101" s="28" t="s">
        <v>66</v>
      </c>
      <c r="O101" s="10"/>
    </row>
    <row r="102" spans="1:15" ht="15.75" thickBot="1" x14ac:dyDescent="0.3">
      <c r="A102" s="38"/>
      <c r="B102" s="29" t="s">
        <v>68</v>
      </c>
      <c r="C102" s="30"/>
      <c r="D102" s="30"/>
      <c r="E102" s="30"/>
      <c r="F102" s="30"/>
      <c r="G102" s="30">
        <f>SUM(H102:N102)</f>
        <v>0</v>
      </c>
      <c r="H102" s="31"/>
      <c r="I102" s="31"/>
      <c r="J102" s="31"/>
      <c r="K102" s="31"/>
      <c r="L102" s="31"/>
      <c r="M102" s="31"/>
      <c r="N102" s="32"/>
      <c r="O102" s="10"/>
    </row>
    <row r="103" spans="1:15" x14ac:dyDescent="0.25">
      <c r="A103" s="36">
        <v>26</v>
      </c>
      <c r="B103" s="21" t="s">
        <v>45</v>
      </c>
      <c r="C103" s="22"/>
      <c r="D103" s="22">
        <v>350</v>
      </c>
      <c r="E103" s="22">
        <v>1400</v>
      </c>
      <c r="F103" s="22">
        <f>((D103+C103)*$O$2+E103)-G103+G105-G106</f>
        <v>2850</v>
      </c>
      <c r="G103" s="22">
        <f>SUM(H103:N103)</f>
        <v>0</v>
      </c>
      <c r="H103" s="23"/>
      <c r="I103" s="23"/>
      <c r="J103" s="23"/>
      <c r="K103" s="23"/>
      <c r="L103" s="23"/>
      <c r="M103" s="23"/>
      <c r="N103" s="24"/>
      <c r="O103" s="10"/>
    </row>
    <row r="104" spans="1:15" x14ac:dyDescent="0.25">
      <c r="A104" s="37"/>
      <c r="B104" s="25" t="s">
        <v>64</v>
      </c>
      <c r="C104" s="17"/>
      <c r="D104" s="17"/>
      <c r="E104" s="17"/>
      <c r="F104" s="17"/>
      <c r="G104" s="17"/>
      <c r="H104" s="13"/>
      <c r="I104" s="13"/>
      <c r="J104" s="13"/>
      <c r="K104" s="13"/>
      <c r="L104" s="13"/>
      <c r="M104" s="13"/>
      <c r="N104" s="26"/>
      <c r="O104" s="10"/>
    </row>
    <row r="105" spans="1:15" x14ac:dyDescent="0.25">
      <c r="A105" s="37"/>
      <c r="B105" s="27" t="s">
        <v>62</v>
      </c>
      <c r="C105" s="17"/>
      <c r="D105" s="17"/>
      <c r="E105" s="17"/>
      <c r="F105" s="17"/>
      <c r="G105" s="17">
        <f>SUM(H105:N105)</f>
        <v>50</v>
      </c>
      <c r="H105" s="15" t="s">
        <v>66</v>
      </c>
      <c r="I105" s="15" t="s">
        <v>66</v>
      </c>
      <c r="J105" s="15" t="s">
        <v>66</v>
      </c>
      <c r="K105" s="15">
        <v>50</v>
      </c>
      <c r="L105" s="15"/>
      <c r="M105" s="15" t="s">
        <v>66</v>
      </c>
      <c r="N105" s="28" t="s">
        <v>66</v>
      </c>
      <c r="O105" s="10"/>
    </row>
    <row r="106" spans="1:15" ht="15.75" thickBot="1" x14ac:dyDescent="0.3">
      <c r="A106" s="38"/>
      <c r="B106" s="29" t="s">
        <v>68</v>
      </c>
      <c r="C106" s="30"/>
      <c r="D106" s="30"/>
      <c r="E106" s="30"/>
      <c r="F106" s="30"/>
      <c r="G106" s="30">
        <f>SUM(H106:N106)</f>
        <v>0</v>
      </c>
      <c r="H106" s="31"/>
      <c r="I106" s="31"/>
      <c r="J106" s="31"/>
      <c r="K106" s="31"/>
      <c r="L106" s="31"/>
      <c r="M106" s="31"/>
      <c r="N106" s="32"/>
      <c r="O106" s="10"/>
    </row>
    <row r="107" spans="1:15" x14ac:dyDescent="0.25">
      <c r="A107" s="36">
        <v>27</v>
      </c>
      <c r="B107" s="21" t="s">
        <v>46</v>
      </c>
      <c r="C107" s="22"/>
      <c r="D107" s="22">
        <v>450</v>
      </c>
      <c r="E107" s="22">
        <v>15100</v>
      </c>
      <c r="F107" s="22">
        <f>((D107+C107)*$O$2+E107)-G107+G109-G110</f>
        <v>16950</v>
      </c>
      <c r="G107" s="22">
        <f>SUM(H107:N107)</f>
        <v>0</v>
      </c>
      <c r="H107" s="23"/>
      <c r="I107" s="23"/>
      <c r="J107" s="23"/>
      <c r="K107" s="23"/>
      <c r="L107" s="23"/>
      <c r="M107" s="23"/>
      <c r="N107" s="24"/>
      <c r="O107" s="10"/>
    </row>
    <row r="108" spans="1:15" x14ac:dyDescent="0.25">
      <c r="A108" s="37"/>
      <c r="B108" s="25" t="s">
        <v>64</v>
      </c>
      <c r="C108" s="17"/>
      <c r="D108" s="17"/>
      <c r="E108" s="17"/>
      <c r="F108" s="17"/>
      <c r="G108" s="17"/>
      <c r="H108" s="13"/>
      <c r="I108" s="13"/>
      <c r="J108" s="13"/>
      <c r="K108" s="13"/>
      <c r="L108" s="13"/>
      <c r="M108" s="13"/>
      <c r="N108" s="26"/>
      <c r="O108" s="10"/>
    </row>
    <row r="109" spans="1:15" x14ac:dyDescent="0.25">
      <c r="A109" s="37"/>
      <c r="B109" s="27" t="s">
        <v>62</v>
      </c>
      <c r="C109" s="17"/>
      <c r="D109" s="17"/>
      <c r="E109" s="17"/>
      <c r="F109" s="17"/>
      <c r="G109" s="17">
        <f>SUM(H109:N109)</f>
        <v>50</v>
      </c>
      <c r="H109" s="15" t="s">
        <v>66</v>
      </c>
      <c r="I109" s="15" t="s">
        <v>66</v>
      </c>
      <c r="J109" s="15" t="s">
        <v>66</v>
      </c>
      <c r="K109" s="15">
        <v>50</v>
      </c>
      <c r="L109" s="15"/>
      <c r="M109" s="15" t="s">
        <v>66</v>
      </c>
      <c r="N109" s="28" t="s">
        <v>66</v>
      </c>
      <c r="O109" s="10"/>
    </row>
    <row r="110" spans="1:15" ht="15.75" thickBot="1" x14ac:dyDescent="0.3">
      <c r="A110" s="38"/>
      <c r="B110" s="29" t="s">
        <v>68</v>
      </c>
      <c r="C110" s="30"/>
      <c r="D110" s="30"/>
      <c r="E110" s="30"/>
      <c r="F110" s="30"/>
      <c r="G110" s="30">
        <f>SUM(H110:N110)</f>
        <v>0</v>
      </c>
      <c r="H110" s="31"/>
      <c r="I110" s="31"/>
      <c r="J110" s="31"/>
      <c r="K110" s="31"/>
      <c r="L110" s="31"/>
      <c r="M110" s="31"/>
      <c r="N110" s="32"/>
      <c r="O110" s="10"/>
    </row>
    <row r="111" spans="1:15" x14ac:dyDescent="0.25">
      <c r="A111" s="36">
        <v>28</v>
      </c>
      <c r="B111" s="21" t="s">
        <v>47</v>
      </c>
      <c r="C111" s="22"/>
      <c r="D111" s="22">
        <v>300</v>
      </c>
      <c r="E111" s="22">
        <v>7300</v>
      </c>
      <c r="F111" s="22">
        <f>((D111+C111)*$O$2+E111)-G111+G113-G114</f>
        <v>6800</v>
      </c>
      <c r="G111" s="22">
        <f>SUM(H111:N111)</f>
        <v>1700</v>
      </c>
      <c r="H111" s="23"/>
      <c r="I111" s="23">
        <v>400</v>
      </c>
      <c r="J111" s="23">
        <v>1000</v>
      </c>
      <c r="K111" s="23">
        <v>300</v>
      </c>
      <c r="L111" s="23"/>
      <c r="M111" s="23"/>
      <c r="N111" s="24"/>
      <c r="O111" s="10"/>
    </row>
    <row r="112" spans="1:15" x14ac:dyDescent="0.25">
      <c r="A112" s="37"/>
      <c r="B112" s="25" t="s">
        <v>64</v>
      </c>
      <c r="C112" s="17"/>
      <c r="D112" s="17"/>
      <c r="E112" s="17"/>
      <c r="F112" s="17"/>
      <c r="G112" s="17"/>
      <c r="H112" s="13"/>
      <c r="I112" s="13">
        <v>4</v>
      </c>
      <c r="J112" s="13">
        <v>8</v>
      </c>
      <c r="K112" s="13">
        <v>13</v>
      </c>
      <c r="L112" s="13"/>
      <c r="M112" s="13"/>
      <c r="N112" s="26"/>
      <c r="O112" s="10"/>
    </row>
    <row r="113" spans="1:15" x14ac:dyDescent="0.25">
      <c r="A113" s="37"/>
      <c r="B113" s="27" t="s">
        <v>62</v>
      </c>
      <c r="C113" s="17"/>
      <c r="D113" s="17"/>
      <c r="E113" s="17"/>
      <c r="F113" s="17"/>
      <c r="G113" s="17">
        <f>SUM(H113:N113)</f>
        <v>0</v>
      </c>
      <c r="H113" s="15" t="s">
        <v>66</v>
      </c>
      <c r="I113" s="15" t="s">
        <v>66</v>
      </c>
      <c r="J113" s="15" t="s">
        <v>66</v>
      </c>
      <c r="K113" s="15" t="s">
        <v>66</v>
      </c>
      <c r="L113" s="15"/>
      <c r="M113" s="15" t="s">
        <v>66</v>
      </c>
      <c r="N113" s="28" t="s">
        <v>66</v>
      </c>
      <c r="O113" s="10"/>
    </row>
    <row r="114" spans="1:15" ht="15.75" thickBot="1" x14ac:dyDescent="0.3">
      <c r="A114" s="38"/>
      <c r="B114" s="29" t="s">
        <v>68</v>
      </c>
      <c r="C114" s="30"/>
      <c r="D114" s="30"/>
      <c r="E114" s="30"/>
      <c r="F114" s="30"/>
      <c r="G114" s="30">
        <f>SUM(H114:N114)</f>
        <v>0</v>
      </c>
      <c r="H114" s="31"/>
      <c r="I114" s="31"/>
      <c r="J114" s="31"/>
      <c r="K114" s="31"/>
      <c r="L114" s="31"/>
      <c r="M114" s="31"/>
      <c r="N114" s="32"/>
      <c r="O114" s="10"/>
    </row>
    <row r="115" spans="1:15" x14ac:dyDescent="0.25">
      <c r="A115" s="36">
        <v>29</v>
      </c>
      <c r="B115" s="21" t="s">
        <v>48</v>
      </c>
      <c r="C115" s="22">
        <v>50</v>
      </c>
      <c r="D115" s="22">
        <v>350</v>
      </c>
      <c r="E115" s="22"/>
      <c r="F115" s="22">
        <f>((D115+C115)*$O$2+E115)-G115+G117-G118</f>
        <v>400</v>
      </c>
      <c r="G115" s="22">
        <f>SUM(H115:N115)</f>
        <v>1200</v>
      </c>
      <c r="H115" s="23"/>
      <c r="I115" s="23"/>
      <c r="J115" s="23"/>
      <c r="K115" s="23">
        <v>1200</v>
      </c>
      <c r="L115" s="23"/>
      <c r="M115" s="23"/>
      <c r="N115" s="24"/>
      <c r="O115" s="10"/>
    </row>
    <row r="116" spans="1:15" x14ac:dyDescent="0.25">
      <c r="A116" s="37"/>
      <c r="B116" s="25" t="s">
        <v>64</v>
      </c>
      <c r="C116" s="17"/>
      <c r="D116" s="17"/>
      <c r="E116" s="17"/>
      <c r="F116" s="17"/>
      <c r="G116" s="17"/>
      <c r="H116" s="13"/>
      <c r="I116" s="13"/>
      <c r="J116" s="13"/>
      <c r="K116" s="13">
        <v>13</v>
      </c>
      <c r="L116" s="13"/>
      <c r="M116" s="13"/>
      <c r="N116" s="26"/>
      <c r="O116" s="10"/>
    </row>
    <row r="117" spans="1:15" x14ac:dyDescent="0.25">
      <c r="A117" s="37"/>
      <c r="B117" s="27" t="s">
        <v>62</v>
      </c>
      <c r="C117" s="17"/>
      <c r="D117" s="17"/>
      <c r="E117" s="17"/>
      <c r="F117" s="17"/>
      <c r="G117" s="17">
        <f>SUM(H117:N117)</f>
        <v>0</v>
      </c>
      <c r="H117" s="15" t="s">
        <v>66</v>
      </c>
      <c r="I117" s="15" t="s">
        <v>66</v>
      </c>
      <c r="J117" s="15" t="s">
        <v>66</v>
      </c>
      <c r="K117" s="15" t="s">
        <v>66</v>
      </c>
      <c r="L117" s="15"/>
      <c r="M117" s="15" t="s">
        <v>66</v>
      </c>
      <c r="N117" s="28" t="s">
        <v>66</v>
      </c>
      <c r="O117" s="10"/>
    </row>
    <row r="118" spans="1:15" ht="15.75" thickBot="1" x14ac:dyDescent="0.3">
      <c r="A118" s="38"/>
      <c r="B118" s="29" t="s">
        <v>68</v>
      </c>
      <c r="C118" s="30"/>
      <c r="D118" s="30"/>
      <c r="E118" s="30"/>
      <c r="F118" s="30"/>
      <c r="G118" s="30">
        <f>SUM(H118:N118)</f>
        <v>0</v>
      </c>
      <c r="H118" s="31"/>
      <c r="I118" s="31"/>
      <c r="J118" s="31"/>
      <c r="K118" s="31"/>
      <c r="L118" s="31"/>
      <c r="M118" s="31"/>
      <c r="N118" s="32"/>
      <c r="O118" s="10"/>
    </row>
    <row r="119" spans="1:15" x14ac:dyDescent="0.25">
      <c r="A119" s="36">
        <v>30</v>
      </c>
      <c r="B119" s="21" t="s">
        <v>49</v>
      </c>
      <c r="C119" s="22"/>
      <c r="D119" s="22">
        <v>300</v>
      </c>
      <c r="E119" s="22">
        <v>20100</v>
      </c>
      <c r="F119" s="22">
        <f>((D119+C119)*$O$2+E119)-G119+G121-G122</f>
        <v>13000</v>
      </c>
      <c r="G119" s="22">
        <f>SUM(H119:N119)</f>
        <v>8350</v>
      </c>
      <c r="H119" s="23"/>
      <c r="I119" s="23">
        <v>5000</v>
      </c>
      <c r="J119" s="23"/>
      <c r="K119" s="23"/>
      <c r="L119" s="23">
        <v>3350</v>
      </c>
      <c r="M119" s="23"/>
      <c r="N119" s="24"/>
      <c r="O119" s="10"/>
    </row>
    <row r="120" spans="1:15" x14ac:dyDescent="0.25">
      <c r="A120" s="37"/>
      <c r="B120" s="25" t="s">
        <v>64</v>
      </c>
      <c r="C120" s="17"/>
      <c r="D120" s="17"/>
      <c r="E120" s="17"/>
      <c r="F120" s="17"/>
      <c r="G120" s="17"/>
      <c r="H120" s="13"/>
      <c r="I120" s="13"/>
      <c r="J120" s="13"/>
      <c r="K120" s="13"/>
      <c r="L120" s="13">
        <v>7</v>
      </c>
      <c r="M120" s="13"/>
      <c r="N120" s="26"/>
      <c r="O120" s="10"/>
    </row>
    <row r="121" spans="1:15" x14ac:dyDescent="0.25">
      <c r="A121" s="37"/>
      <c r="B121" s="27" t="s">
        <v>62</v>
      </c>
      <c r="C121" s="17"/>
      <c r="D121" s="17"/>
      <c r="E121" s="17"/>
      <c r="F121" s="17"/>
      <c r="G121" s="17">
        <f>SUM(H121:N121)</f>
        <v>50</v>
      </c>
      <c r="H121" s="15" t="s">
        <v>66</v>
      </c>
      <c r="I121" s="15" t="s">
        <v>66</v>
      </c>
      <c r="J121" s="15" t="s">
        <v>66</v>
      </c>
      <c r="K121" s="15">
        <v>50</v>
      </c>
      <c r="L121" s="15" t="s">
        <v>66</v>
      </c>
      <c r="M121" s="15" t="s">
        <v>66</v>
      </c>
      <c r="N121" s="28" t="s">
        <v>66</v>
      </c>
      <c r="O121" s="10"/>
    </row>
    <row r="122" spans="1:15" ht="15.75" thickBot="1" x14ac:dyDescent="0.3">
      <c r="A122" s="38"/>
      <c r="B122" s="29" t="s">
        <v>68</v>
      </c>
      <c r="C122" s="30"/>
      <c r="D122" s="30"/>
      <c r="E122" s="30"/>
      <c r="F122" s="30"/>
      <c r="G122" s="30">
        <f>SUM(H122:N122)</f>
        <v>0</v>
      </c>
      <c r="H122" s="31"/>
      <c r="I122" s="31"/>
      <c r="J122" s="31"/>
      <c r="K122" s="31"/>
      <c r="L122" s="31"/>
      <c r="M122" s="31"/>
      <c r="N122" s="32"/>
      <c r="O122" s="10"/>
    </row>
    <row r="123" spans="1:15" ht="15.75" thickBot="1" x14ac:dyDescent="0.3">
      <c r="A123" s="10"/>
      <c r="B123" s="12"/>
      <c r="C123" s="33">
        <f t="shared" ref="C123:D123" si="27">C119+C115+C111+C107+C103+C99+C95+C91+C87+C83+C79+C75+C71+C67+C63+C59+C55+C51+C47+C43+C39+C35+C31+C27+C23+C19+C15+C11+C7+C3</f>
        <v>550</v>
      </c>
      <c r="D123" s="33">
        <f t="shared" si="27"/>
        <v>10700</v>
      </c>
      <c r="E123" s="10"/>
      <c r="F123" s="10"/>
      <c r="G123" s="10">
        <f t="shared" ref="G123:K123" si="28">G119+G115+G111+G107+G103+G99+G95+G91+G87+G83+G79+G75+G71+G67+G63+G59+G55+G51+G47+G43+G39+G35+G31+G27+G23+G19+G15+G11+G7+G3</f>
        <v>63650</v>
      </c>
      <c r="H123" s="10">
        <f t="shared" si="28"/>
        <v>0</v>
      </c>
      <c r="I123" s="10">
        <f t="shared" si="28"/>
        <v>11450</v>
      </c>
      <c r="J123" s="10">
        <f t="shared" si="28"/>
        <v>15200</v>
      </c>
      <c r="K123" s="10">
        <f t="shared" si="28"/>
        <v>24250</v>
      </c>
      <c r="L123" s="10">
        <f>L119+L115+L111+L107+L103+L99+L95+L91+L87+L83+L79+L75+L71+L67+L63+L59+L55+L51+L47+L43+L39+L35+L31+L27+L23+L19+L15+L11+L7+L3</f>
        <v>12750</v>
      </c>
      <c r="M123" s="10">
        <f>M119+M115+M111+M107+M103+M99+M95+M91+M87+M83+M79+M75+M71+M67+M63+M59+M55+M51+M47+M43+M39+M35+M31+M27+M23+M19+M15+M11+M7+M3</f>
        <v>0</v>
      </c>
      <c r="N123" s="10">
        <f>N119+N115+N111+N107+N103+N99+N95+N91+N87+N83+N79+N75+N71+N67+N63+N59+N55+N51+N47+N43+N39+N35+N31+N27+N23+N19+N15+N11+N7+N3</f>
        <v>0</v>
      </c>
      <c r="O123" s="10"/>
    </row>
    <row r="124" spans="1:15" ht="15.75" thickBot="1" x14ac:dyDescent="0.3">
      <c r="C124" s="34"/>
      <c r="D124" s="35" t="str">
        <f>D123+C123&amp;" per month"</f>
        <v>11250 per month</v>
      </c>
      <c r="E124">
        <v>8100</v>
      </c>
    </row>
    <row r="125" spans="1:15" x14ac:dyDescent="0.25">
      <c r="D125">
        <v>135000</v>
      </c>
      <c r="E125">
        <f>E124*12</f>
        <v>97200</v>
      </c>
      <c r="F125">
        <f>D125-E125</f>
        <v>37800</v>
      </c>
    </row>
    <row r="127" spans="1:15" x14ac:dyDescent="0.25">
      <c r="B127" t="s">
        <v>80</v>
      </c>
      <c r="C127" t="s">
        <v>81</v>
      </c>
      <c r="D127">
        <v>5000</v>
      </c>
    </row>
    <row r="128" spans="1:15" x14ac:dyDescent="0.25">
      <c r="C128" t="s">
        <v>82</v>
      </c>
      <c r="D128">
        <v>3000</v>
      </c>
    </row>
    <row r="129" spans="3:4" x14ac:dyDescent="0.25">
      <c r="C129" t="s">
        <v>83</v>
      </c>
      <c r="D129">
        <v>1500</v>
      </c>
    </row>
    <row r="130" spans="3:4" x14ac:dyDescent="0.25">
      <c r="C130" t="s">
        <v>84</v>
      </c>
      <c r="D130">
        <v>1000</v>
      </c>
    </row>
    <row r="131" spans="3:4" x14ac:dyDescent="0.25">
      <c r="C131" t="s">
        <v>86</v>
      </c>
      <c r="D131">
        <v>1500</v>
      </c>
    </row>
    <row r="132" spans="3:4" x14ac:dyDescent="0.25">
      <c r="C132" t="s">
        <v>85</v>
      </c>
      <c r="D132">
        <v>2000</v>
      </c>
    </row>
  </sheetData>
  <mergeCells count="30">
    <mergeCell ref="A119:A122"/>
    <mergeCell ref="A75:A78"/>
    <mergeCell ref="A79:A82"/>
    <mergeCell ref="A83:A86"/>
    <mergeCell ref="A87:A90"/>
    <mergeCell ref="A91:A94"/>
    <mergeCell ref="A95:A98"/>
    <mergeCell ref="A99:A102"/>
    <mergeCell ref="A103:A106"/>
    <mergeCell ref="A107:A110"/>
    <mergeCell ref="A111:A114"/>
    <mergeCell ref="A115:A118"/>
    <mergeCell ref="A71:A74"/>
    <mergeCell ref="A27:A30"/>
    <mergeCell ref="A31:A34"/>
    <mergeCell ref="A35:A38"/>
    <mergeCell ref="A39:A42"/>
    <mergeCell ref="A43:A46"/>
    <mergeCell ref="A47:A50"/>
    <mergeCell ref="A51:A54"/>
    <mergeCell ref="A55:A58"/>
    <mergeCell ref="A59:A62"/>
    <mergeCell ref="A63:A66"/>
    <mergeCell ref="A67:A70"/>
    <mergeCell ref="A23:A26"/>
    <mergeCell ref="A3:A6"/>
    <mergeCell ref="A7:A10"/>
    <mergeCell ref="A11:A14"/>
    <mergeCell ref="A15:A18"/>
    <mergeCell ref="A19:A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e_Add">
                <anchor moveWithCells="1">
                  <from>
                    <xdr:col>1</xdr:col>
                    <xdr:colOff>38100</xdr:colOff>
                    <xdr:row>0</xdr:row>
                    <xdr:rowOff>142875</xdr:rowOff>
                  </from>
                  <to>
                    <xdr:col>1</xdr:col>
                    <xdr:colOff>1285875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132"/>
  <sheetViews>
    <sheetView workbookViewId="0">
      <selection sqref="A1:XFD1048576"/>
    </sheetView>
  </sheetViews>
  <sheetFormatPr defaultRowHeight="15" x14ac:dyDescent="0.25"/>
  <cols>
    <col min="1" max="1" width="8.85546875" customWidth="1"/>
    <col min="2" max="2" width="20.140625" customWidth="1"/>
    <col min="3" max="3" width="17.28515625" customWidth="1"/>
    <col min="4" max="4" width="12.42578125" customWidth="1"/>
    <col min="5" max="5" width="21" customWidth="1"/>
    <col min="6" max="6" width="16.28515625" customWidth="1"/>
    <col min="7" max="7" width="12" bestFit="1" customWidth="1"/>
    <col min="12" max="12" width="10.42578125" bestFit="1" customWidth="1"/>
    <col min="15" max="15" width="11.7109375" bestFit="1" customWidth="1"/>
  </cols>
  <sheetData>
    <row r="1" spans="1:16" x14ac:dyDescent="0.25">
      <c r="A1" s="10"/>
      <c r="B1" s="10"/>
      <c r="C1" s="10"/>
      <c r="D1" s="10"/>
      <c r="E1" s="10"/>
      <c r="F1" s="10"/>
      <c r="G1" s="10"/>
      <c r="H1" s="10" t="s">
        <v>65</v>
      </c>
      <c r="I1" s="10" t="s">
        <v>65</v>
      </c>
      <c r="J1" s="10" t="s">
        <v>65</v>
      </c>
      <c r="K1" s="10" t="s">
        <v>65</v>
      </c>
      <c r="L1" s="10"/>
      <c r="M1" s="10"/>
      <c r="N1" s="10"/>
      <c r="O1" s="11"/>
      <c r="P1" s="9"/>
    </row>
    <row r="2" spans="1:16" ht="60.75" thickBot="1" x14ac:dyDescent="0.3">
      <c r="A2" s="16" t="s">
        <v>19</v>
      </c>
      <c r="B2" s="19" t="s">
        <v>25</v>
      </c>
      <c r="C2" s="20" t="s">
        <v>87</v>
      </c>
      <c r="D2" s="20" t="s">
        <v>61</v>
      </c>
      <c r="E2" s="20" t="s">
        <v>69</v>
      </c>
      <c r="F2" s="20" t="s">
        <v>70</v>
      </c>
      <c r="G2" s="19" t="s">
        <v>51</v>
      </c>
      <c r="H2" s="19" t="s">
        <v>20</v>
      </c>
      <c r="I2" s="19" t="s">
        <v>21</v>
      </c>
      <c r="J2" s="19" t="s">
        <v>22</v>
      </c>
      <c r="K2" s="19" t="s">
        <v>23</v>
      </c>
      <c r="L2" s="19" t="s">
        <v>58</v>
      </c>
      <c r="M2" s="19" t="s">
        <v>59</v>
      </c>
      <c r="N2" s="19" t="s">
        <v>60</v>
      </c>
      <c r="O2" s="14">
        <f>COUNTA(H1:N1)</f>
        <v>4</v>
      </c>
    </row>
    <row r="3" spans="1:16" x14ac:dyDescent="0.25">
      <c r="A3" s="39">
        <v>1</v>
      </c>
      <c r="B3" s="21" t="s">
        <v>26</v>
      </c>
      <c r="C3" s="22">
        <v>50</v>
      </c>
      <c r="D3" s="22">
        <v>450</v>
      </c>
      <c r="E3" s="22">
        <v>6500</v>
      </c>
      <c r="F3" s="22">
        <f>((D3+C3)*$O$2+E3)-G3+G5-G6</f>
        <v>4500</v>
      </c>
      <c r="G3" s="22">
        <f>SUM(H3:N3)</f>
        <v>4000</v>
      </c>
      <c r="H3" s="23"/>
      <c r="I3" s="23"/>
      <c r="J3" s="23"/>
      <c r="K3" s="23">
        <v>2000</v>
      </c>
      <c r="L3" s="23">
        <v>2000</v>
      </c>
      <c r="M3" s="23"/>
      <c r="N3" s="24"/>
      <c r="O3" s="18"/>
    </row>
    <row r="4" spans="1:16" x14ac:dyDescent="0.25">
      <c r="A4" s="40"/>
      <c r="B4" s="25" t="s">
        <v>64</v>
      </c>
      <c r="C4" s="17"/>
      <c r="D4" s="17"/>
      <c r="E4" s="17"/>
      <c r="F4" s="17"/>
      <c r="G4" s="17"/>
      <c r="H4" s="13"/>
      <c r="I4" s="13"/>
      <c r="J4" s="13"/>
      <c r="K4" s="13">
        <v>19</v>
      </c>
      <c r="L4" s="13">
        <v>10</v>
      </c>
      <c r="M4" s="13"/>
      <c r="N4" s="26"/>
      <c r="O4" s="18"/>
    </row>
    <row r="5" spans="1:16" x14ac:dyDescent="0.25">
      <c r="A5" s="40"/>
      <c r="B5" s="27" t="s">
        <v>62</v>
      </c>
      <c r="C5" s="17"/>
      <c r="D5" s="17"/>
      <c r="E5" s="17"/>
      <c r="F5" s="17"/>
      <c r="G5" s="17">
        <f>SUM(H5:N5)</f>
        <v>50</v>
      </c>
      <c r="H5" s="15" t="str">
        <f t="shared" ref="H5:J5" si="0">IF(H4&gt;15,"50","")</f>
        <v/>
      </c>
      <c r="I5" s="15" t="str">
        <f t="shared" si="0"/>
        <v/>
      </c>
      <c r="J5" s="15" t="str">
        <f t="shared" si="0"/>
        <v/>
      </c>
      <c r="K5" s="15">
        <v>50</v>
      </c>
      <c r="L5" s="15" t="str">
        <f>IF(L4&gt;15,"50","")</f>
        <v/>
      </c>
      <c r="M5" s="15" t="str">
        <f t="shared" ref="M5:N5" si="1">IF(M4&gt;15,"50","")</f>
        <v/>
      </c>
      <c r="N5" s="28" t="str">
        <f t="shared" si="1"/>
        <v/>
      </c>
      <c r="O5" s="18"/>
    </row>
    <row r="6" spans="1:16" ht="15.75" thickBot="1" x14ac:dyDescent="0.3">
      <c r="A6" s="41"/>
      <c r="B6" s="29" t="s">
        <v>68</v>
      </c>
      <c r="C6" s="30"/>
      <c r="D6" s="30"/>
      <c r="E6" s="30"/>
      <c r="F6" s="30"/>
      <c r="G6" s="30">
        <f>SUM(H6:N6)</f>
        <v>50</v>
      </c>
      <c r="H6" s="31"/>
      <c r="I6" s="31"/>
      <c r="J6" s="31"/>
      <c r="K6" s="31">
        <v>50</v>
      </c>
      <c r="L6" s="31"/>
      <c r="M6" s="31"/>
      <c r="N6" s="32"/>
      <c r="O6" s="18"/>
    </row>
    <row r="7" spans="1:16" x14ac:dyDescent="0.25">
      <c r="A7" s="36">
        <v>2</v>
      </c>
      <c r="B7" s="21" t="s">
        <v>27</v>
      </c>
      <c r="C7" s="22"/>
      <c r="D7" s="22">
        <v>450</v>
      </c>
      <c r="E7" s="22">
        <v>2700</v>
      </c>
      <c r="F7" s="22">
        <f>((D7+C7)*$O$2+E7)-G7+G9-G10</f>
        <v>3200</v>
      </c>
      <c r="G7" s="22">
        <f>SUM(H7:N7)</f>
        <v>1350</v>
      </c>
      <c r="H7" s="23"/>
      <c r="I7" s="23">
        <v>450</v>
      </c>
      <c r="J7" s="23"/>
      <c r="K7" s="23">
        <v>450</v>
      </c>
      <c r="L7" s="23">
        <v>450</v>
      </c>
      <c r="M7" s="23"/>
      <c r="N7" s="24"/>
      <c r="O7" s="10"/>
    </row>
    <row r="8" spans="1:16" x14ac:dyDescent="0.25">
      <c r="A8" s="37"/>
      <c r="B8" s="25" t="s">
        <v>64</v>
      </c>
      <c r="C8" s="17"/>
      <c r="D8" s="17"/>
      <c r="E8" s="17"/>
      <c r="F8" s="17"/>
      <c r="G8" s="17"/>
      <c r="H8" s="13"/>
      <c r="I8" s="13">
        <v>7</v>
      </c>
      <c r="J8" s="13"/>
      <c r="K8" s="13">
        <v>11</v>
      </c>
      <c r="L8" s="13">
        <v>11</v>
      </c>
      <c r="M8" s="13"/>
      <c r="N8" s="26"/>
      <c r="O8" s="10"/>
    </row>
    <row r="9" spans="1:16" x14ac:dyDescent="0.25">
      <c r="A9" s="37"/>
      <c r="B9" s="27" t="s">
        <v>62</v>
      </c>
      <c r="C9" s="17"/>
      <c r="D9" s="17"/>
      <c r="E9" s="17"/>
      <c r="F9" s="17"/>
      <c r="G9" s="17">
        <f>SUM(H9:N9)</f>
        <v>50</v>
      </c>
      <c r="H9" s="15" t="str">
        <f t="shared" ref="H9:I9" si="2">IF(H8&gt;15,"50","")</f>
        <v/>
      </c>
      <c r="I9" s="15" t="str">
        <f t="shared" si="2"/>
        <v/>
      </c>
      <c r="J9" s="15">
        <v>50</v>
      </c>
      <c r="K9" s="15"/>
      <c r="L9" s="15" t="str">
        <f>IF(L8&gt;15,"50","")</f>
        <v/>
      </c>
      <c r="M9" s="15" t="str">
        <f t="shared" ref="M9:N9" si="3">IF(M8&gt;15,"50","")</f>
        <v/>
      </c>
      <c r="N9" s="28" t="str">
        <f t="shared" si="3"/>
        <v/>
      </c>
      <c r="O9" s="10"/>
    </row>
    <row r="10" spans="1:16" ht="15.75" thickBot="1" x14ac:dyDescent="0.3">
      <c r="A10" s="38"/>
      <c r="B10" s="29" t="s">
        <v>68</v>
      </c>
      <c r="C10" s="30"/>
      <c r="D10" s="30"/>
      <c r="E10" s="30"/>
      <c r="F10" s="30"/>
      <c r="G10" s="30">
        <f>SUM(H10:N10)</f>
        <v>0</v>
      </c>
      <c r="H10" s="31"/>
      <c r="I10" s="31"/>
      <c r="J10" s="31"/>
      <c r="K10" s="31"/>
      <c r="L10" s="31"/>
      <c r="M10" s="31"/>
      <c r="N10" s="32"/>
      <c r="O10" s="10"/>
    </row>
    <row r="11" spans="1:16" x14ac:dyDescent="0.25">
      <c r="A11" s="36">
        <v>3</v>
      </c>
      <c r="B11" s="21" t="s">
        <v>63</v>
      </c>
      <c r="C11" s="22"/>
      <c r="D11" s="22"/>
      <c r="E11" s="22"/>
      <c r="F11" s="22">
        <f>((D11+C11)*$O$2+E11)-G11+G13-G14</f>
        <v>0</v>
      </c>
      <c r="G11" s="22">
        <f>SUM(H11:N11)</f>
        <v>0</v>
      </c>
      <c r="H11" s="23"/>
      <c r="I11" s="23"/>
      <c r="J11" s="23"/>
      <c r="K11" s="23"/>
      <c r="L11" s="23"/>
      <c r="M11" s="23"/>
      <c r="N11" s="24"/>
      <c r="O11" s="10"/>
    </row>
    <row r="12" spans="1:16" x14ac:dyDescent="0.25">
      <c r="A12" s="37"/>
      <c r="B12" s="25" t="s">
        <v>64</v>
      </c>
      <c r="C12" s="17"/>
      <c r="D12" s="17"/>
      <c r="E12" s="17"/>
      <c r="F12" s="17"/>
      <c r="G12" s="17"/>
      <c r="H12" s="13"/>
      <c r="I12" s="13"/>
      <c r="J12" s="13"/>
      <c r="K12" s="13"/>
      <c r="L12" s="13"/>
      <c r="M12" s="13"/>
      <c r="N12" s="26"/>
      <c r="O12" s="10"/>
    </row>
    <row r="13" spans="1:16" x14ac:dyDescent="0.25">
      <c r="A13" s="37"/>
      <c r="B13" s="27" t="s">
        <v>62</v>
      </c>
      <c r="C13" s="17"/>
      <c r="D13" s="17"/>
      <c r="E13" s="17"/>
      <c r="F13" s="17"/>
      <c r="G13" s="17">
        <f>SUM(H13:N13)</f>
        <v>0</v>
      </c>
      <c r="H13" s="15" t="str">
        <f t="shared" ref="H13:K13" si="4">IF(H12&gt;15,"50","")</f>
        <v/>
      </c>
      <c r="I13" s="15" t="str">
        <f t="shared" si="4"/>
        <v/>
      </c>
      <c r="J13" s="15" t="str">
        <f t="shared" si="4"/>
        <v/>
      </c>
      <c r="K13" s="15" t="str">
        <f t="shared" si="4"/>
        <v/>
      </c>
      <c r="L13" s="15" t="str">
        <f>IF(L12&gt;15,"50","")</f>
        <v/>
      </c>
      <c r="M13" s="15" t="str">
        <f t="shared" ref="M13:N13" si="5">IF(M12&gt;15,"50","")</f>
        <v/>
      </c>
      <c r="N13" s="28" t="str">
        <f t="shared" si="5"/>
        <v/>
      </c>
      <c r="O13" s="10"/>
    </row>
    <row r="14" spans="1:16" ht="15.75" thickBot="1" x14ac:dyDescent="0.3">
      <c r="A14" s="38"/>
      <c r="B14" s="29" t="s">
        <v>68</v>
      </c>
      <c r="C14" s="30"/>
      <c r="D14" s="30"/>
      <c r="E14" s="30"/>
      <c r="F14" s="30"/>
      <c r="G14" s="30">
        <f>SUM(H14:N14)</f>
        <v>0</v>
      </c>
      <c r="H14" s="31"/>
      <c r="I14" s="31"/>
      <c r="J14" s="31"/>
      <c r="K14" s="31"/>
      <c r="L14" s="31"/>
      <c r="M14" s="31"/>
      <c r="N14" s="32"/>
      <c r="O14" s="10"/>
    </row>
    <row r="15" spans="1:16" x14ac:dyDescent="0.25">
      <c r="A15" s="36">
        <v>4</v>
      </c>
      <c r="B15" s="21" t="s">
        <v>28</v>
      </c>
      <c r="C15" s="22"/>
      <c r="D15" s="22">
        <v>450</v>
      </c>
      <c r="E15" s="22">
        <v>2250</v>
      </c>
      <c r="F15" s="22">
        <f>((D15+C15)*$O$2+E15)-G15+G17-G18</f>
        <v>0</v>
      </c>
      <c r="G15" s="22">
        <f>SUM(H15:N15)</f>
        <v>4050</v>
      </c>
      <c r="H15" s="23"/>
      <c r="I15" s="23">
        <v>1800</v>
      </c>
      <c r="J15" s="23">
        <v>900</v>
      </c>
      <c r="K15" s="23">
        <v>450</v>
      </c>
      <c r="L15" s="23">
        <v>900</v>
      </c>
      <c r="M15" s="23"/>
      <c r="N15" s="24"/>
      <c r="O15" s="10"/>
    </row>
    <row r="16" spans="1:16" x14ac:dyDescent="0.25">
      <c r="A16" s="37"/>
      <c r="B16" s="25" t="s">
        <v>64</v>
      </c>
      <c r="C16" s="17"/>
      <c r="D16" s="17"/>
      <c r="E16" s="17"/>
      <c r="F16" s="17"/>
      <c r="G16" s="17"/>
      <c r="H16" s="13"/>
      <c r="I16" s="13">
        <v>3</v>
      </c>
      <c r="J16" s="13">
        <v>5</v>
      </c>
      <c r="K16" s="13">
        <v>10</v>
      </c>
      <c r="L16" s="13">
        <v>4</v>
      </c>
      <c r="M16" s="13"/>
      <c r="N16" s="26"/>
      <c r="O16" s="10"/>
    </row>
    <row r="17" spans="1:15" x14ac:dyDescent="0.25">
      <c r="A17" s="37"/>
      <c r="B17" s="27" t="s">
        <v>62</v>
      </c>
      <c r="C17" s="17"/>
      <c r="D17" s="17"/>
      <c r="E17" s="17"/>
      <c r="F17" s="17"/>
      <c r="G17" s="17">
        <f>SUM(H17:N17)</f>
        <v>0</v>
      </c>
      <c r="H17" s="15" t="str">
        <f t="shared" ref="H17:K17" si="6">IF(H16&gt;15,"50","")</f>
        <v/>
      </c>
      <c r="I17" s="15" t="str">
        <f t="shared" si="6"/>
        <v/>
      </c>
      <c r="J17" s="15" t="str">
        <f t="shared" si="6"/>
        <v/>
      </c>
      <c r="K17" s="15" t="str">
        <f t="shared" si="6"/>
        <v/>
      </c>
      <c r="L17" s="15" t="str">
        <f>IF(L16&gt;15,"50","")</f>
        <v/>
      </c>
      <c r="M17" s="15" t="str">
        <f t="shared" ref="M17:N17" si="7">IF(M16&gt;15,"50","")</f>
        <v/>
      </c>
      <c r="N17" s="28" t="str">
        <f t="shared" si="7"/>
        <v/>
      </c>
      <c r="O17" s="10"/>
    </row>
    <row r="18" spans="1:15" ht="15.75" thickBot="1" x14ac:dyDescent="0.3">
      <c r="A18" s="38"/>
      <c r="B18" s="29" t="s">
        <v>68</v>
      </c>
      <c r="C18" s="30"/>
      <c r="D18" s="30"/>
      <c r="E18" s="30"/>
      <c r="F18" s="30"/>
      <c r="G18" s="30">
        <f>SUM(H18:N18)</f>
        <v>0</v>
      </c>
      <c r="H18" s="31"/>
      <c r="I18" s="31"/>
      <c r="J18" s="31"/>
      <c r="K18" s="31"/>
      <c r="L18" s="31"/>
      <c r="M18" s="31"/>
      <c r="N18" s="32"/>
      <c r="O18" s="10"/>
    </row>
    <row r="19" spans="1:15" x14ac:dyDescent="0.25">
      <c r="A19" s="36">
        <v>5</v>
      </c>
      <c r="B19" s="21" t="s">
        <v>29</v>
      </c>
      <c r="C19" s="22"/>
      <c r="D19" s="22">
        <v>300</v>
      </c>
      <c r="E19" s="22">
        <v>8500</v>
      </c>
      <c r="F19" s="22">
        <f>((D19+C19)*$O$2+E19)-G19+G21-G22</f>
        <v>8200</v>
      </c>
      <c r="G19" s="22">
        <f>SUM(H19:N19)</f>
        <v>1500</v>
      </c>
      <c r="H19" s="23"/>
      <c r="I19" s="23"/>
      <c r="J19" s="23"/>
      <c r="K19" s="23">
        <v>1500</v>
      </c>
      <c r="L19" s="23"/>
      <c r="M19" s="23"/>
      <c r="N19" s="24"/>
      <c r="O19" s="10"/>
    </row>
    <row r="20" spans="1:15" x14ac:dyDescent="0.25">
      <c r="A20" s="37"/>
      <c r="B20" s="25" t="s">
        <v>64</v>
      </c>
      <c r="C20" s="17"/>
      <c r="D20" s="17"/>
      <c r="E20" s="17"/>
      <c r="F20" s="17"/>
      <c r="G20" s="17"/>
      <c r="H20" s="13"/>
      <c r="I20" s="13"/>
      <c r="J20" s="13"/>
      <c r="K20" s="13"/>
      <c r="L20" s="13"/>
      <c r="M20" s="13"/>
      <c r="N20" s="26"/>
      <c r="O20" s="10"/>
    </row>
    <row r="21" spans="1:15" x14ac:dyDescent="0.25">
      <c r="A21" s="37"/>
      <c r="B21" s="27" t="s">
        <v>62</v>
      </c>
      <c r="C21" s="17"/>
      <c r="D21" s="17"/>
      <c r="E21" s="17"/>
      <c r="F21" s="17"/>
      <c r="G21" s="17">
        <f>SUM(H21:N21)</f>
        <v>0</v>
      </c>
      <c r="H21" s="15" t="str">
        <f t="shared" ref="H21:K21" si="8">IF(H20&gt;15,"50","")</f>
        <v/>
      </c>
      <c r="I21" s="15" t="str">
        <f t="shared" si="8"/>
        <v/>
      </c>
      <c r="J21" s="15" t="str">
        <f t="shared" si="8"/>
        <v/>
      </c>
      <c r="K21" s="15" t="str">
        <f t="shared" si="8"/>
        <v/>
      </c>
      <c r="L21" s="15" t="str">
        <f>IF(L20&gt;15,"50","")</f>
        <v/>
      </c>
      <c r="M21" s="15" t="str">
        <f t="shared" ref="M21:N21" si="9">IF(M20&gt;15,"50","")</f>
        <v/>
      </c>
      <c r="N21" s="28" t="str">
        <f t="shared" si="9"/>
        <v/>
      </c>
      <c r="O21" s="10"/>
    </row>
    <row r="22" spans="1:15" ht="15.75" thickBot="1" x14ac:dyDescent="0.3">
      <c r="A22" s="38"/>
      <c r="B22" s="29" t="s">
        <v>68</v>
      </c>
      <c r="C22" s="30"/>
      <c r="D22" s="30"/>
      <c r="E22" s="30"/>
      <c r="F22" s="30"/>
      <c r="G22" s="30">
        <f>SUM(H22:N22)</f>
        <v>0</v>
      </c>
      <c r="H22" s="31"/>
      <c r="I22" s="31"/>
      <c r="J22" s="31"/>
      <c r="K22" s="31"/>
      <c r="L22" s="31"/>
      <c r="M22" s="31"/>
      <c r="N22" s="32"/>
      <c r="O22" s="10"/>
    </row>
    <row r="23" spans="1:15" x14ac:dyDescent="0.25">
      <c r="A23" s="36">
        <v>6</v>
      </c>
      <c r="B23" s="21" t="s">
        <v>29</v>
      </c>
      <c r="C23" s="22"/>
      <c r="D23" s="22">
        <v>300</v>
      </c>
      <c r="E23" s="22">
        <v>8500</v>
      </c>
      <c r="F23" s="22">
        <f>((D23+C23)*$O$2+E23)-G23+G25-G26</f>
        <v>8200</v>
      </c>
      <c r="G23" s="22">
        <f>SUM(H23:N23)</f>
        <v>1500</v>
      </c>
      <c r="H23" s="23"/>
      <c r="I23" s="23"/>
      <c r="J23" s="23"/>
      <c r="K23" s="23">
        <v>1500</v>
      </c>
      <c r="L23" s="23"/>
      <c r="M23" s="23"/>
      <c r="N23" s="24"/>
      <c r="O23" s="10"/>
    </row>
    <row r="24" spans="1:15" x14ac:dyDescent="0.25">
      <c r="A24" s="37"/>
      <c r="B24" s="25" t="s">
        <v>64</v>
      </c>
      <c r="C24" s="17"/>
      <c r="D24" s="17"/>
      <c r="E24" s="17"/>
      <c r="F24" s="17"/>
      <c r="G24" s="17"/>
      <c r="H24" s="13"/>
      <c r="I24" s="13"/>
      <c r="J24" s="13"/>
      <c r="K24" s="13"/>
      <c r="L24" s="13"/>
      <c r="M24" s="13"/>
      <c r="N24" s="26"/>
      <c r="O24" s="10"/>
    </row>
    <row r="25" spans="1:15" x14ac:dyDescent="0.25">
      <c r="A25" s="37"/>
      <c r="B25" s="27" t="s">
        <v>62</v>
      </c>
      <c r="C25" s="17"/>
      <c r="D25" s="17"/>
      <c r="E25" s="17"/>
      <c r="F25" s="17"/>
      <c r="G25" s="17">
        <f>SUM(H25:N25)</f>
        <v>0</v>
      </c>
      <c r="H25" s="15" t="s">
        <v>66</v>
      </c>
      <c r="I25" s="15" t="s">
        <v>66</v>
      </c>
      <c r="J25" s="15" t="s">
        <v>66</v>
      </c>
      <c r="K25" s="15" t="s">
        <v>66</v>
      </c>
      <c r="L25" s="15" t="s">
        <v>66</v>
      </c>
      <c r="M25" s="15" t="s">
        <v>66</v>
      </c>
      <c r="N25" s="28" t="s">
        <v>66</v>
      </c>
      <c r="O25" s="10"/>
    </row>
    <row r="26" spans="1:15" ht="15.75" thickBot="1" x14ac:dyDescent="0.3">
      <c r="A26" s="38"/>
      <c r="B26" s="29" t="s">
        <v>68</v>
      </c>
      <c r="C26" s="30"/>
      <c r="D26" s="30"/>
      <c r="E26" s="30"/>
      <c r="F26" s="30"/>
      <c r="G26" s="30">
        <f>SUM(H26:N26)</f>
        <v>0</v>
      </c>
      <c r="H26" s="31"/>
      <c r="I26" s="31"/>
      <c r="J26" s="31"/>
      <c r="K26" s="31"/>
      <c r="L26" s="31"/>
      <c r="M26" s="31"/>
      <c r="N26" s="32"/>
      <c r="O26" s="10"/>
    </row>
    <row r="27" spans="1:15" x14ac:dyDescent="0.25">
      <c r="A27" s="36">
        <v>7</v>
      </c>
      <c r="B27" s="21" t="s">
        <v>29</v>
      </c>
      <c r="C27" s="22"/>
      <c r="D27" s="22">
        <v>300</v>
      </c>
      <c r="E27" s="22">
        <v>8500</v>
      </c>
      <c r="F27" s="22">
        <f>((D27+C27)*$O$2+E27)-G27+G29-G30</f>
        <v>8200</v>
      </c>
      <c r="G27" s="22">
        <f>SUM(H27:N27)</f>
        <v>1500</v>
      </c>
      <c r="H27" s="23"/>
      <c r="I27" s="23"/>
      <c r="J27" s="23"/>
      <c r="K27" s="23">
        <v>1500</v>
      </c>
      <c r="L27" s="23"/>
      <c r="M27" s="23"/>
      <c r="N27" s="24"/>
      <c r="O27" s="10"/>
    </row>
    <row r="28" spans="1:15" x14ac:dyDescent="0.25">
      <c r="A28" s="37"/>
      <c r="B28" s="25" t="s">
        <v>64</v>
      </c>
      <c r="C28" s="17"/>
      <c r="D28" s="17"/>
      <c r="E28" s="17"/>
      <c r="F28" s="17"/>
      <c r="G28" s="17"/>
      <c r="H28" s="13"/>
      <c r="I28" s="13"/>
      <c r="J28" s="13"/>
      <c r="K28" s="13"/>
      <c r="L28" s="13"/>
      <c r="M28" s="13"/>
      <c r="N28" s="26"/>
      <c r="O28" s="10"/>
    </row>
    <row r="29" spans="1:15" x14ac:dyDescent="0.25">
      <c r="A29" s="37"/>
      <c r="B29" s="27" t="s">
        <v>62</v>
      </c>
      <c r="C29" s="17"/>
      <c r="D29" s="17"/>
      <c r="E29" s="17"/>
      <c r="F29" s="17"/>
      <c r="G29" s="17">
        <f>SUM(H29:N29)</f>
        <v>0</v>
      </c>
      <c r="H29" s="15" t="s">
        <v>66</v>
      </c>
      <c r="I29" s="15" t="s">
        <v>66</v>
      </c>
      <c r="J29" s="15" t="s">
        <v>66</v>
      </c>
      <c r="K29" s="15" t="s">
        <v>66</v>
      </c>
      <c r="L29" s="15" t="s">
        <v>66</v>
      </c>
      <c r="M29" s="15" t="s">
        <v>66</v>
      </c>
      <c r="N29" s="28" t="s">
        <v>66</v>
      </c>
      <c r="O29" s="10"/>
    </row>
    <row r="30" spans="1:15" ht="15.75" thickBot="1" x14ac:dyDescent="0.3">
      <c r="A30" s="38"/>
      <c r="B30" s="29" t="s">
        <v>68</v>
      </c>
      <c r="C30" s="30"/>
      <c r="D30" s="30"/>
      <c r="E30" s="30"/>
      <c r="F30" s="30"/>
      <c r="G30" s="30">
        <f>SUM(H30:N30)</f>
        <v>0</v>
      </c>
      <c r="H30" s="31"/>
      <c r="I30" s="31"/>
      <c r="J30" s="31"/>
      <c r="K30" s="31"/>
      <c r="L30" s="31"/>
      <c r="M30" s="31"/>
      <c r="N30" s="32"/>
      <c r="O30" s="10"/>
    </row>
    <row r="31" spans="1:15" x14ac:dyDescent="0.25">
      <c r="A31" s="36">
        <v>8</v>
      </c>
      <c r="B31" s="21" t="s">
        <v>30</v>
      </c>
      <c r="C31" s="22">
        <v>50</v>
      </c>
      <c r="D31" s="22">
        <v>350</v>
      </c>
      <c r="E31" s="22">
        <v>1350</v>
      </c>
      <c r="F31" s="22">
        <f>((D31+C31)*$O$2+E31)-G31+G33-G34</f>
        <v>400</v>
      </c>
      <c r="G31" s="22">
        <f>SUM(H31:N31)</f>
        <v>2550</v>
      </c>
      <c r="H31" s="23"/>
      <c r="I31" s="23"/>
      <c r="J31" s="23">
        <v>1050</v>
      </c>
      <c r="K31" s="23">
        <v>1500</v>
      </c>
      <c r="L31" s="23"/>
      <c r="M31" s="23"/>
      <c r="N31" s="24"/>
      <c r="O31" s="10"/>
    </row>
    <row r="32" spans="1:15" x14ac:dyDescent="0.25">
      <c r="A32" s="37"/>
      <c r="B32" s="25" t="s">
        <v>64</v>
      </c>
      <c r="C32" s="17"/>
      <c r="D32" s="17"/>
      <c r="E32" s="17"/>
      <c r="F32" s="17"/>
      <c r="G32" s="17"/>
      <c r="H32" s="13"/>
      <c r="I32" s="13"/>
      <c r="J32" s="13">
        <v>11</v>
      </c>
      <c r="K32" s="13">
        <v>15</v>
      </c>
      <c r="L32" s="13"/>
      <c r="M32" s="13"/>
      <c r="N32" s="26"/>
      <c r="O32" s="10"/>
    </row>
    <row r="33" spans="1:15" x14ac:dyDescent="0.25">
      <c r="A33" s="37"/>
      <c r="B33" s="27" t="s">
        <v>62</v>
      </c>
      <c r="C33" s="17"/>
      <c r="D33" s="17"/>
      <c r="E33" s="17"/>
      <c r="F33" s="17"/>
      <c r="G33" s="17">
        <f>SUM(H33:N33)</f>
        <v>0</v>
      </c>
      <c r="H33" s="15" t="s">
        <v>66</v>
      </c>
      <c r="I33" s="15" t="s">
        <v>66</v>
      </c>
      <c r="J33" s="15" t="s">
        <v>66</v>
      </c>
      <c r="K33" s="15" t="s">
        <v>66</v>
      </c>
      <c r="L33" s="15" t="s">
        <v>66</v>
      </c>
      <c r="M33" s="15" t="s">
        <v>66</v>
      </c>
      <c r="N33" s="28" t="s">
        <v>66</v>
      </c>
      <c r="O33" s="10"/>
    </row>
    <row r="34" spans="1:15" ht="15.75" thickBot="1" x14ac:dyDescent="0.3">
      <c r="A34" s="38"/>
      <c r="B34" s="29" t="s">
        <v>68</v>
      </c>
      <c r="C34" s="30"/>
      <c r="D34" s="30"/>
      <c r="E34" s="30"/>
      <c r="F34" s="30"/>
      <c r="G34" s="30">
        <f>SUM(H34:N34)</f>
        <v>0</v>
      </c>
      <c r="H34" s="31"/>
      <c r="I34" s="31"/>
      <c r="J34" s="31"/>
      <c r="K34" s="31"/>
      <c r="L34" s="31"/>
      <c r="M34" s="31"/>
      <c r="N34" s="32"/>
      <c r="O34" s="10"/>
    </row>
    <row r="35" spans="1:15" x14ac:dyDescent="0.25">
      <c r="A35" s="36">
        <v>9</v>
      </c>
      <c r="B35" s="21" t="s">
        <v>31</v>
      </c>
      <c r="C35" s="22">
        <v>50</v>
      </c>
      <c r="D35" s="22">
        <v>450</v>
      </c>
      <c r="E35" s="22">
        <v>500</v>
      </c>
      <c r="F35" s="22">
        <f>((D35+C35)*$O$2+E35)-G35+G37-G38</f>
        <v>0</v>
      </c>
      <c r="G35" s="22">
        <f>SUM(H35:N35)</f>
        <v>2500</v>
      </c>
      <c r="H35" s="23"/>
      <c r="I35" s="23">
        <v>500</v>
      </c>
      <c r="J35" s="23">
        <v>500</v>
      </c>
      <c r="K35" s="23">
        <v>1000</v>
      </c>
      <c r="L35" s="23">
        <v>500</v>
      </c>
      <c r="M35" s="23"/>
      <c r="N35" s="24"/>
      <c r="O35" s="10"/>
    </row>
    <row r="36" spans="1:15" x14ac:dyDescent="0.25">
      <c r="A36" s="37"/>
      <c r="B36" s="25" t="s">
        <v>64</v>
      </c>
      <c r="C36" s="17"/>
      <c r="D36" s="17"/>
      <c r="E36" s="17"/>
      <c r="F36" s="17"/>
      <c r="G36" s="17"/>
      <c r="H36" s="13"/>
      <c r="I36" s="13">
        <v>7</v>
      </c>
      <c r="J36" s="13">
        <v>7</v>
      </c>
      <c r="K36" s="13" t="s">
        <v>67</v>
      </c>
      <c r="L36" s="13">
        <v>4</v>
      </c>
      <c r="M36" s="13"/>
      <c r="N36" s="26"/>
      <c r="O36" s="10"/>
    </row>
    <row r="37" spans="1:15" x14ac:dyDescent="0.25">
      <c r="A37" s="37"/>
      <c r="B37" s="27" t="s">
        <v>62</v>
      </c>
      <c r="C37" s="17"/>
      <c r="D37" s="17"/>
      <c r="E37" s="17"/>
      <c r="F37" s="17"/>
      <c r="G37" s="17">
        <f>SUM(H37:N37)</f>
        <v>0</v>
      </c>
      <c r="H37" s="15" t="s">
        <v>66</v>
      </c>
      <c r="I37" s="15" t="s">
        <v>66</v>
      </c>
      <c r="J37" s="15" t="s">
        <v>66</v>
      </c>
      <c r="K37" s="15" t="s">
        <v>66</v>
      </c>
      <c r="L37" s="15" t="s">
        <v>66</v>
      </c>
      <c r="M37" s="15" t="s">
        <v>66</v>
      </c>
      <c r="N37" s="28" t="s">
        <v>66</v>
      </c>
      <c r="O37" s="10"/>
    </row>
    <row r="38" spans="1:15" ht="15.75" thickBot="1" x14ac:dyDescent="0.3">
      <c r="A38" s="38"/>
      <c r="B38" s="29" t="s">
        <v>68</v>
      </c>
      <c r="C38" s="30"/>
      <c r="D38" s="30"/>
      <c r="E38" s="30"/>
      <c r="F38" s="30"/>
      <c r="G38" s="30">
        <f>SUM(H38:N38)</f>
        <v>0</v>
      </c>
      <c r="H38" s="31"/>
      <c r="I38" s="31"/>
      <c r="J38" s="31"/>
      <c r="K38" s="31"/>
      <c r="L38" s="31"/>
      <c r="M38" s="31"/>
      <c r="N38" s="32"/>
      <c r="O38" s="10"/>
    </row>
    <row r="39" spans="1:15" x14ac:dyDescent="0.25">
      <c r="A39" s="36">
        <v>10</v>
      </c>
      <c r="B39" s="21" t="s">
        <v>32</v>
      </c>
      <c r="C39" s="22"/>
      <c r="D39" s="22">
        <v>450</v>
      </c>
      <c r="E39" s="22">
        <v>22150</v>
      </c>
      <c r="F39" s="22">
        <f>((D39+C39)*$O$2+E39)-G39+G41-G42</f>
        <v>24000</v>
      </c>
      <c r="G39" s="22">
        <f>SUM(H39:N39)</f>
        <v>0</v>
      </c>
      <c r="H39" s="23"/>
      <c r="I39" s="23"/>
      <c r="J39" s="23"/>
      <c r="K39" s="23"/>
      <c r="L39" s="23"/>
      <c r="M39" s="23"/>
      <c r="N39" s="24"/>
      <c r="O39" s="10"/>
    </row>
    <row r="40" spans="1:15" x14ac:dyDescent="0.25">
      <c r="A40" s="37"/>
      <c r="B40" s="25" t="s">
        <v>64</v>
      </c>
      <c r="C40" s="17"/>
      <c r="D40" s="17"/>
      <c r="E40" s="17"/>
      <c r="F40" s="17"/>
      <c r="G40" s="17"/>
      <c r="H40" s="13"/>
      <c r="I40" s="13"/>
      <c r="J40" s="13"/>
      <c r="K40" s="13"/>
      <c r="L40" s="13"/>
      <c r="M40" s="13"/>
      <c r="N40" s="26"/>
      <c r="O40" s="10"/>
    </row>
    <row r="41" spans="1:15" x14ac:dyDescent="0.25">
      <c r="A41" s="37"/>
      <c r="B41" s="27" t="s">
        <v>62</v>
      </c>
      <c r="C41" s="17"/>
      <c r="D41" s="17"/>
      <c r="E41" s="17"/>
      <c r="F41" s="17"/>
      <c r="G41" s="17">
        <f>SUM(H41:N41)</f>
        <v>50</v>
      </c>
      <c r="H41" s="15" t="s">
        <v>66</v>
      </c>
      <c r="I41" s="15" t="s">
        <v>66</v>
      </c>
      <c r="J41" s="15" t="s">
        <v>66</v>
      </c>
      <c r="K41" s="15">
        <v>50</v>
      </c>
      <c r="L41" s="15" t="s">
        <v>66</v>
      </c>
      <c r="M41" s="15" t="s">
        <v>66</v>
      </c>
      <c r="N41" s="28" t="s">
        <v>66</v>
      </c>
      <c r="O41" s="10"/>
    </row>
    <row r="42" spans="1:15" ht="15.75" thickBot="1" x14ac:dyDescent="0.3">
      <c r="A42" s="38"/>
      <c r="B42" s="29" t="s">
        <v>68</v>
      </c>
      <c r="C42" s="30"/>
      <c r="D42" s="30"/>
      <c r="E42" s="30"/>
      <c r="F42" s="30"/>
      <c r="G42" s="30">
        <f>SUM(H42:N42)</f>
        <v>0</v>
      </c>
      <c r="H42" s="31"/>
      <c r="I42" s="31"/>
      <c r="J42" s="31"/>
      <c r="K42" s="31"/>
      <c r="L42" s="31"/>
      <c r="M42" s="31"/>
      <c r="N42" s="32"/>
      <c r="O42" s="10"/>
    </row>
    <row r="43" spans="1:15" x14ac:dyDescent="0.25">
      <c r="A43" s="36">
        <v>11</v>
      </c>
      <c r="B43" s="21" t="s">
        <v>32</v>
      </c>
      <c r="C43" s="22"/>
      <c r="D43" s="22">
        <v>350</v>
      </c>
      <c r="E43" s="22">
        <v>22150</v>
      </c>
      <c r="F43" s="22">
        <f>((D43+C43)*$O$2+E43)-G43+G45-G46</f>
        <v>23600</v>
      </c>
      <c r="G43" s="22">
        <f>SUM(H43:N43)</f>
        <v>0</v>
      </c>
      <c r="H43" s="23"/>
      <c r="I43" s="23"/>
      <c r="J43" s="23"/>
      <c r="K43" s="23"/>
      <c r="L43" s="23"/>
      <c r="M43" s="23"/>
      <c r="N43" s="24"/>
      <c r="O43" s="10"/>
    </row>
    <row r="44" spans="1:15" x14ac:dyDescent="0.25">
      <c r="A44" s="37"/>
      <c r="B44" s="25" t="s">
        <v>64</v>
      </c>
      <c r="C44" s="17"/>
      <c r="D44" s="17"/>
      <c r="E44" s="17"/>
      <c r="F44" s="17"/>
      <c r="G44" s="17"/>
      <c r="H44" s="13"/>
      <c r="I44" s="13"/>
      <c r="J44" s="13"/>
      <c r="K44" s="13"/>
      <c r="L44" s="13"/>
      <c r="M44" s="13"/>
      <c r="N44" s="26"/>
      <c r="O44" s="10"/>
    </row>
    <row r="45" spans="1:15" x14ac:dyDescent="0.25">
      <c r="A45" s="37"/>
      <c r="B45" s="27" t="s">
        <v>62</v>
      </c>
      <c r="C45" s="17"/>
      <c r="D45" s="17"/>
      <c r="E45" s="17"/>
      <c r="F45" s="17"/>
      <c r="G45" s="17">
        <f>SUM(H45:N45)</f>
        <v>50</v>
      </c>
      <c r="H45" s="15" t="s">
        <v>66</v>
      </c>
      <c r="I45" s="15" t="s">
        <v>66</v>
      </c>
      <c r="J45" s="15" t="s">
        <v>66</v>
      </c>
      <c r="K45" s="15">
        <v>50</v>
      </c>
      <c r="L45" s="15" t="s">
        <v>66</v>
      </c>
      <c r="M45" s="15" t="s">
        <v>66</v>
      </c>
      <c r="N45" s="28" t="s">
        <v>66</v>
      </c>
      <c r="O45" s="10"/>
    </row>
    <row r="46" spans="1:15" ht="15.75" thickBot="1" x14ac:dyDescent="0.3">
      <c r="A46" s="38"/>
      <c r="B46" s="29" t="s">
        <v>68</v>
      </c>
      <c r="C46" s="30"/>
      <c r="D46" s="30"/>
      <c r="E46" s="30"/>
      <c r="F46" s="30"/>
      <c r="G46" s="30">
        <f>SUM(H46:N46)</f>
        <v>0</v>
      </c>
      <c r="H46" s="31"/>
      <c r="I46" s="31"/>
      <c r="J46" s="31"/>
      <c r="K46" s="31"/>
      <c r="L46" s="31"/>
      <c r="M46" s="31"/>
      <c r="N46" s="32"/>
      <c r="O46" s="10"/>
    </row>
    <row r="47" spans="1:15" x14ac:dyDescent="0.25">
      <c r="A47" s="36">
        <v>12</v>
      </c>
      <c r="B47" s="21" t="s">
        <v>33</v>
      </c>
      <c r="C47" s="22">
        <v>50</v>
      </c>
      <c r="D47" s="22">
        <v>350</v>
      </c>
      <c r="E47" s="22">
        <v>20450</v>
      </c>
      <c r="F47" s="22">
        <f>((D47+C47)*$O$2+E47)-G47+G49-G50</f>
        <v>20600</v>
      </c>
      <c r="G47" s="22">
        <f>SUM(H47:N47)</f>
        <v>1500</v>
      </c>
      <c r="H47" s="23"/>
      <c r="I47" s="23"/>
      <c r="J47" s="23"/>
      <c r="K47" s="23"/>
      <c r="L47" s="23">
        <v>1500</v>
      </c>
      <c r="M47" s="23"/>
      <c r="N47" s="24"/>
      <c r="O47" s="10"/>
    </row>
    <row r="48" spans="1:15" x14ac:dyDescent="0.25">
      <c r="A48" s="37"/>
      <c r="B48" s="25" t="s">
        <v>64</v>
      </c>
      <c r="C48" s="17"/>
      <c r="D48" s="17"/>
      <c r="E48" s="17"/>
      <c r="F48" s="17"/>
      <c r="G48" s="17"/>
      <c r="H48" s="13"/>
      <c r="I48" s="13"/>
      <c r="J48" s="13"/>
      <c r="K48" s="13"/>
      <c r="L48" s="13">
        <v>12</v>
      </c>
      <c r="M48" s="13"/>
      <c r="N48" s="26"/>
      <c r="O48" s="10"/>
    </row>
    <row r="49" spans="1:15" x14ac:dyDescent="0.25">
      <c r="A49" s="37"/>
      <c r="B49" s="27" t="s">
        <v>62</v>
      </c>
      <c r="C49" s="17"/>
      <c r="D49" s="17"/>
      <c r="E49" s="17"/>
      <c r="F49" s="17"/>
      <c r="G49" s="17">
        <f>SUM(H49:N49)</f>
        <v>50</v>
      </c>
      <c r="H49" s="15" t="s">
        <v>66</v>
      </c>
      <c r="I49" s="15" t="s">
        <v>66</v>
      </c>
      <c r="J49" s="15" t="s">
        <v>66</v>
      </c>
      <c r="K49" s="15">
        <v>50</v>
      </c>
      <c r="L49" s="15" t="s">
        <v>66</v>
      </c>
      <c r="M49" s="15" t="s">
        <v>66</v>
      </c>
      <c r="N49" s="28" t="s">
        <v>66</v>
      </c>
      <c r="O49" s="10"/>
    </row>
    <row r="50" spans="1:15" ht="15.75" thickBot="1" x14ac:dyDescent="0.3">
      <c r="A50" s="38"/>
      <c r="B50" s="29" t="s">
        <v>68</v>
      </c>
      <c r="C50" s="30"/>
      <c r="D50" s="30"/>
      <c r="E50" s="30"/>
      <c r="F50" s="30"/>
      <c r="G50" s="30">
        <f>SUM(H50:N50)</f>
        <v>0</v>
      </c>
      <c r="H50" s="31"/>
      <c r="I50" s="31"/>
      <c r="J50" s="31"/>
      <c r="K50" s="31"/>
      <c r="L50" s="31"/>
      <c r="M50" s="31"/>
      <c r="N50" s="32"/>
      <c r="O50" s="10"/>
    </row>
    <row r="51" spans="1:15" x14ac:dyDescent="0.25">
      <c r="A51" s="36">
        <v>13</v>
      </c>
      <c r="B51" s="21" t="s">
        <v>33</v>
      </c>
      <c r="C51" s="22">
        <v>50</v>
      </c>
      <c r="D51" s="22">
        <v>350</v>
      </c>
      <c r="E51" s="22">
        <v>20450</v>
      </c>
      <c r="F51" s="22">
        <f>((D51+C51)*$O$2+E51)-G51+G53-G54</f>
        <v>20600</v>
      </c>
      <c r="G51" s="22">
        <f>SUM(H51:N51)</f>
        <v>1500</v>
      </c>
      <c r="H51" s="23"/>
      <c r="I51" s="23"/>
      <c r="J51" s="23"/>
      <c r="K51" s="23"/>
      <c r="L51" s="23">
        <v>1500</v>
      </c>
      <c r="M51" s="23"/>
      <c r="N51" s="24"/>
      <c r="O51" s="10"/>
    </row>
    <row r="52" spans="1:15" x14ac:dyDescent="0.25">
      <c r="A52" s="37"/>
      <c r="B52" s="25" t="s">
        <v>64</v>
      </c>
      <c r="C52" s="17"/>
      <c r="D52" s="17"/>
      <c r="E52" s="17"/>
      <c r="F52" s="17"/>
      <c r="G52" s="17"/>
      <c r="H52" s="13"/>
      <c r="I52" s="13"/>
      <c r="J52" s="13"/>
      <c r="K52" s="13"/>
      <c r="L52" s="13">
        <v>12</v>
      </c>
      <c r="M52" s="13"/>
      <c r="N52" s="26"/>
      <c r="O52" s="10"/>
    </row>
    <row r="53" spans="1:15" x14ac:dyDescent="0.25">
      <c r="A53" s="37"/>
      <c r="B53" s="27" t="s">
        <v>62</v>
      </c>
      <c r="C53" s="17"/>
      <c r="D53" s="17"/>
      <c r="E53" s="17"/>
      <c r="F53" s="17"/>
      <c r="G53" s="17">
        <f>SUM(H53:N53)</f>
        <v>50</v>
      </c>
      <c r="H53" s="15" t="s">
        <v>66</v>
      </c>
      <c r="I53" s="15" t="s">
        <v>66</v>
      </c>
      <c r="J53" s="15" t="s">
        <v>66</v>
      </c>
      <c r="K53" s="15">
        <v>50</v>
      </c>
      <c r="L53" s="15" t="s">
        <v>66</v>
      </c>
      <c r="M53" s="15" t="s">
        <v>66</v>
      </c>
      <c r="N53" s="28" t="s">
        <v>66</v>
      </c>
      <c r="O53" s="10"/>
    </row>
    <row r="54" spans="1:15" ht="15.75" thickBot="1" x14ac:dyDescent="0.3">
      <c r="A54" s="38"/>
      <c r="B54" s="29" t="s">
        <v>68</v>
      </c>
      <c r="C54" s="30"/>
      <c r="D54" s="30"/>
      <c r="E54" s="30"/>
      <c r="F54" s="30"/>
      <c r="G54" s="30">
        <f>SUM(H54:N54)</f>
        <v>0</v>
      </c>
      <c r="H54" s="31"/>
      <c r="I54" s="31"/>
      <c r="J54" s="31"/>
      <c r="K54" s="31"/>
      <c r="L54" s="31"/>
      <c r="M54" s="31"/>
      <c r="N54" s="32"/>
      <c r="O54" s="10"/>
    </row>
    <row r="55" spans="1:15" x14ac:dyDescent="0.25">
      <c r="A55" s="36">
        <v>14</v>
      </c>
      <c r="B55" s="21" t="s">
        <v>34</v>
      </c>
      <c r="C55" s="22"/>
      <c r="D55" s="22">
        <v>350</v>
      </c>
      <c r="E55" s="22">
        <v>3900</v>
      </c>
      <c r="F55" s="22">
        <f>((D55+C55)*$O$2+E55)-G55+G57-G58</f>
        <v>350</v>
      </c>
      <c r="G55" s="22">
        <f>SUM(H55:N55)</f>
        <v>4950</v>
      </c>
      <c r="H55" s="23"/>
      <c r="I55" s="23"/>
      <c r="J55" s="23"/>
      <c r="K55" s="23">
        <v>4950</v>
      </c>
      <c r="L55" s="23"/>
      <c r="M55" s="23"/>
      <c r="N55" s="24"/>
      <c r="O55" s="10"/>
    </row>
    <row r="56" spans="1:15" x14ac:dyDescent="0.25">
      <c r="A56" s="37"/>
      <c r="B56" s="25" t="s">
        <v>64</v>
      </c>
      <c r="C56" s="17"/>
      <c r="D56" s="17"/>
      <c r="E56" s="17"/>
      <c r="F56" s="17"/>
      <c r="G56" s="17"/>
      <c r="H56" s="13"/>
      <c r="I56" s="13"/>
      <c r="J56" s="13"/>
      <c r="K56" s="13">
        <v>29</v>
      </c>
      <c r="L56" s="13"/>
      <c r="M56" s="13"/>
      <c r="N56" s="26"/>
      <c r="O56" s="10"/>
    </row>
    <row r="57" spans="1:15" x14ac:dyDescent="0.25">
      <c r="A57" s="37"/>
      <c r="B57" s="27" t="s">
        <v>62</v>
      </c>
      <c r="C57" s="17"/>
      <c r="D57" s="17"/>
      <c r="E57" s="17"/>
      <c r="F57" s="17"/>
      <c r="G57" s="17">
        <f>SUM(H57:N57)</f>
        <v>50</v>
      </c>
      <c r="H57" s="15" t="s">
        <v>66</v>
      </c>
      <c r="I57" s="15" t="s">
        <v>66</v>
      </c>
      <c r="J57" s="15" t="s">
        <v>66</v>
      </c>
      <c r="K57" s="15">
        <v>50</v>
      </c>
      <c r="L57" s="15" t="s">
        <v>66</v>
      </c>
      <c r="M57" s="15" t="s">
        <v>66</v>
      </c>
      <c r="N57" s="28" t="s">
        <v>66</v>
      </c>
      <c r="O57" s="10"/>
    </row>
    <row r="58" spans="1:15" ht="15.75" thickBot="1" x14ac:dyDescent="0.3">
      <c r="A58" s="38"/>
      <c r="B58" s="29" t="s">
        <v>68</v>
      </c>
      <c r="C58" s="30"/>
      <c r="D58" s="30"/>
      <c r="E58" s="30"/>
      <c r="F58" s="30"/>
      <c r="G58" s="30">
        <f>SUM(H58:N58)</f>
        <v>50</v>
      </c>
      <c r="H58" s="31"/>
      <c r="I58" s="31"/>
      <c r="J58" s="31"/>
      <c r="K58" s="31">
        <v>50</v>
      </c>
      <c r="L58" s="31"/>
      <c r="M58" s="31"/>
      <c r="N58" s="32"/>
      <c r="O58" s="10"/>
    </row>
    <row r="59" spans="1:15" x14ac:dyDescent="0.25">
      <c r="A59" s="36">
        <v>15</v>
      </c>
      <c r="B59" s="21" t="s">
        <v>35</v>
      </c>
      <c r="C59" s="22"/>
      <c r="D59" s="22">
        <v>350</v>
      </c>
      <c r="E59" s="22">
        <v>3150</v>
      </c>
      <c r="F59" s="22">
        <f>((D59+C59)*$O$2+E59)-G59+G61-G62</f>
        <v>3550</v>
      </c>
      <c r="G59" s="22">
        <f>SUM(H59:N59)</f>
        <v>1050</v>
      </c>
      <c r="H59" s="23"/>
      <c r="I59" s="23"/>
      <c r="J59" s="23">
        <v>1050</v>
      </c>
      <c r="K59" s="23"/>
      <c r="L59" s="23"/>
      <c r="M59" s="23"/>
      <c r="N59" s="24"/>
      <c r="O59" s="10"/>
    </row>
    <row r="60" spans="1:15" x14ac:dyDescent="0.25">
      <c r="A60" s="37"/>
      <c r="B60" s="25" t="s">
        <v>64</v>
      </c>
      <c r="C60" s="17"/>
      <c r="D60" s="17"/>
      <c r="E60" s="17"/>
      <c r="F60" s="17"/>
      <c r="G60" s="17"/>
      <c r="H60" s="13"/>
      <c r="I60" s="13"/>
      <c r="J60" s="13"/>
      <c r="K60" s="13"/>
      <c r="L60" s="13"/>
      <c r="M60" s="13"/>
      <c r="N60" s="26"/>
      <c r="O60" s="10"/>
    </row>
    <row r="61" spans="1:15" x14ac:dyDescent="0.25">
      <c r="A61" s="37"/>
      <c r="B61" s="27" t="s">
        <v>62</v>
      </c>
      <c r="C61" s="17"/>
      <c r="D61" s="17"/>
      <c r="E61" s="17"/>
      <c r="F61" s="17"/>
      <c r="G61" s="17">
        <f>SUM(H61:N61)</f>
        <v>50</v>
      </c>
      <c r="H61" s="15" t="s">
        <v>66</v>
      </c>
      <c r="I61" s="15" t="s">
        <v>66</v>
      </c>
      <c r="J61" s="15" t="s">
        <v>66</v>
      </c>
      <c r="K61" s="15">
        <v>50</v>
      </c>
      <c r="L61" s="15" t="s">
        <v>66</v>
      </c>
      <c r="M61" s="15" t="s">
        <v>66</v>
      </c>
      <c r="N61" s="28" t="s">
        <v>66</v>
      </c>
      <c r="O61" s="10"/>
    </row>
    <row r="62" spans="1:15" ht="15.75" thickBot="1" x14ac:dyDescent="0.3">
      <c r="A62" s="38"/>
      <c r="B62" s="29" t="s">
        <v>68</v>
      </c>
      <c r="C62" s="30"/>
      <c r="D62" s="30"/>
      <c r="E62" s="30"/>
      <c r="F62" s="30"/>
      <c r="G62" s="30">
        <f>SUM(H62:N62)</f>
        <v>0</v>
      </c>
      <c r="H62" s="31"/>
      <c r="I62" s="31"/>
      <c r="J62" s="31"/>
      <c r="K62" s="31"/>
      <c r="L62" s="31"/>
      <c r="M62" s="31"/>
      <c r="N62" s="32"/>
      <c r="O62" s="10"/>
    </row>
    <row r="63" spans="1:15" x14ac:dyDescent="0.25">
      <c r="A63" s="36">
        <v>16</v>
      </c>
      <c r="B63" s="21" t="s">
        <v>36</v>
      </c>
      <c r="C63" s="22"/>
      <c r="D63" s="22">
        <v>350</v>
      </c>
      <c r="E63" s="22">
        <v>2100</v>
      </c>
      <c r="F63" s="22">
        <f>((D63+C63)*$O$2+E63)-G63+G65-G66</f>
        <v>550</v>
      </c>
      <c r="G63" s="22">
        <f>SUM(H63:N63)</f>
        <v>3000</v>
      </c>
      <c r="H63" s="23"/>
      <c r="I63" s="23">
        <v>1000</v>
      </c>
      <c r="J63" s="23">
        <v>1000</v>
      </c>
      <c r="K63" s="23">
        <v>1000</v>
      </c>
      <c r="L63" s="23"/>
      <c r="M63" s="23"/>
      <c r="N63" s="24"/>
      <c r="O63" s="10"/>
    </row>
    <row r="64" spans="1:15" x14ac:dyDescent="0.25">
      <c r="A64" s="37"/>
      <c r="B64" s="25" t="s">
        <v>64</v>
      </c>
      <c r="C64" s="17"/>
      <c r="D64" s="17"/>
      <c r="E64" s="17"/>
      <c r="F64" s="17"/>
      <c r="G64" s="17"/>
      <c r="H64" s="13"/>
      <c r="I64" s="13">
        <v>1</v>
      </c>
      <c r="J64" s="13">
        <v>10</v>
      </c>
      <c r="K64" s="13">
        <v>21</v>
      </c>
      <c r="L64" s="13"/>
      <c r="M64" s="13"/>
      <c r="N64" s="26"/>
      <c r="O64" s="10"/>
    </row>
    <row r="65" spans="1:15" x14ac:dyDescent="0.25">
      <c r="A65" s="37"/>
      <c r="B65" s="27" t="s">
        <v>62</v>
      </c>
      <c r="C65" s="17"/>
      <c r="D65" s="17"/>
      <c r="E65" s="17"/>
      <c r="F65" s="17"/>
      <c r="G65" s="17">
        <f>SUM(H65:N65)</f>
        <v>50</v>
      </c>
      <c r="H65" s="15" t="s">
        <v>66</v>
      </c>
      <c r="I65" s="15" t="s">
        <v>66</v>
      </c>
      <c r="J65" s="15" t="s">
        <v>66</v>
      </c>
      <c r="K65" s="15">
        <v>50</v>
      </c>
      <c r="L65" s="15" t="s">
        <v>66</v>
      </c>
      <c r="M65" s="15" t="s">
        <v>66</v>
      </c>
      <c r="N65" s="28" t="s">
        <v>66</v>
      </c>
      <c r="O65" s="10"/>
    </row>
    <row r="66" spans="1:15" ht="15.75" thickBot="1" x14ac:dyDescent="0.3">
      <c r="A66" s="38"/>
      <c r="B66" s="29" t="s">
        <v>68</v>
      </c>
      <c r="C66" s="30"/>
      <c r="D66" s="30"/>
      <c r="E66" s="30"/>
      <c r="F66" s="30"/>
      <c r="G66" s="30">
        <f>SUM(H66:N66)</f>
        <v>0</v>
      </c>
      <c r="H66" s="31"/>
      <c r="I66" s="31"/>
      <c r="J66" s="31"/>
      <c r="K66" s="31"/>
      <c r="L66" s="31"/>
      <c r="M66" s="31"/>
      <c r="N66" s="32"/>
      <c r="O66" s="10"/>
    </row>
    <row r="67" spans="1:15" x14ac:dyDescent="0.25">
      <c r="A67" s="36">
        <v>17</v>
      </c>
      <c r="B67" s="21" t="s">
        <v>37</v>
      </c>
      <c r="C67" s="22"/>
      <c r="D67" s="22">
        <v>350</v>
      </c>
      <c r="E67" s="22">
        <v>14800</v>
      </c>
      <c r="F67" s="22">
        <f>((D67+C67)*$O$2+E67)-G67+G69-G70</f>
        <v>13800</v>
      </c>
      <c r="G67" s="22">
        <f>SUM(H67:N67)</f>
        <v>2450</v>
      </c>
      <c r="H67" s="23"/>
      <c r="I67" s="23"/>
      <c r="J67" s="23">
        <v>2100</v>
      </c>
      <c r="K67" s="23"/>
      <c r="L67" s="23">
        <v>350</v>
      </c>
      <c r="M67" s="23"/>
      <c r="N67" s="24"/>
      <c r="O67" s="10"/>
    </row>
    <row r="68" spans="1:15" x14ac:dyDescent="0.25">
      <c r="A68" s="37"/>
      <c r="B68" s="25" t="s">
        <v>64</v>
      </c>
      <c r="C68" s="17"/>
      <c r="D68" s="17"/>
      <c r="E68" s="17"/>
      <c r="F68" s="17"/>
      <c r="G68" s="17"/>
      <c r="H68" s="13"/>
      <c r="I68" s="13"/>
      <c r="J68" s="13">
        <v>25</v>
      </c>
      <c r="K68" s="13"/>
      <c r="L68" s="13">
        <v>4</v>
      </c>
      <c r="M68" s="13"/>
      <c r="N68" s="26"/>
      <c r="O68" s="10"/>
    </row>
    <row r="69" spans="1:15" x14ac:dyDescent="0.25">
      <c r="A69" s="37"/>
      <c r="B69" s="27" t="s">
        <v>62</v>
      </c>
      <c r="C69" s="17"/>
      <c r="D69" s="17"/>
      <c r="E69" s="17"/>
      <c r="F69" s="17"/>
      <c r="G69" s="17">
        <f>SUM(H69:N69)</f>
        <v>50</v>
      </c>
      <c r="H69" s="15" t="s">
        <v>66</v>
      </c>
      <c r="I69" s="15" t="s">
        <v>66</v>
      </c>
      <c r="J69" s="15"/>
      <c r="K69" s="15">
        <v>50</v>
      </c>
      <c r="L69" s="15" t="s">
        <v>66</v>
      </c>
      <c r="M69" s="15" t="s">
        <v>66</v>
      </c>
      <c r="N69" s="28" t="s">
        <v>66</v>
      </c>
      <c r="O69" s="10"/>
    </row>
    <row r="70" spans="1:15" ht="15.75" thickBot="1" x14ac:dyDescent="0.3">
      <c r="A70" s="38"/>
      <c r="B70" s="29" t="s">
        <v>68</v>
      </c>
      <c r="C70" s="30"/>
      <c r="D70" s="30"/>
      <c r="E70" s="30"/>
      <c r="F70" s="30"/>
      <c r="G70" s="30">
        <f>SUM(H70:N70)</f>
        <v>0</v>
      </c>
      <c r="H70" s="31"/>
      <c r="I70" s="31"/>
      <c r="J70" s="31"/>
      <c r="K70" s="31"/>
      <c r="L70" s="31"/>
      <c r="M70" s="31"/>
      <c r="N70" s="32"/>
      <c r="O70" s="10"/>
    </row>
    <row r="71" spans="1:15" x14ac:dyDescent="0.25">
      <c r="A71" s="36">
        <v>18</v>
      </c>
      <c r="B71" s="21" t="s">
        <v>38</v>
      </c>
      <c r="C71" s="22"/>
      <c r="D71" s="22">
        <v>450</v>
      </c>
      <c r="E71" s="22">
        <v>3150</v>
      </c>
      <c r="F71" s="22">
        <f>((D71+C71)*$O$2+E71)-G71+G73-G74</f>
        <v>4000</v>
      </c>
      <c r="G71" s="22">
        <f>SUM(H71:N71)</f>
        <v>1000</v>
      </c>
      <c r="H71" s="23"/>
      <c r="I71" s="23">
        <v>1000</v>
      </c>
      <c r="J71" s="23"/>
      <c r="K71" s="23"/>
      <c r="L71" s="23"/>
      <c r="M71" s="23"/>
      <c r="N71" s="24"/>
      <c r="O71" s="10"/>
    </row>
    <row r="72" spans="1:15" x14ac:dyDescent="0.25">
      <c r="A72" s="37"/>
      <c r="B72" s="25" t="s">
        <v>64</v>
      </c>
      <c r="C72" s="17"/>
      <c r="D72" s="17"/>
      <c r="E72" s="17"/>
      <c r="F72" s="17"/>
      <c r="G72" s="17"/>
      <c r="H72" s="13"/>
      <c r="I72" s="13">
        <v>19</v>
      </c>
      <c r="J72" s="13"/>
      <c r="K72" s="13"/>
      <c r="L72" s="13"/>
      <c r="M72" s="13"/>
      <c r="N72" s="26"/>
      <c r="O72" s="10"/>
    </row>
    <row r="73" spans="1:15" x14ac:dyDescent="0.25">
      <c r="A73" s="37"/>
      <c r="B73" s="27" t="s">
        <v>62</v>
      </c>
      <c r="C73" s="17"/>
      <c r="D73" s="17"/>
      <c r="E73" s="17"/>
      <c r="F73" s="17"/>
      <c r="G73" s="17">
        <f>SUM(H73:N73)</f>
        <v>50</v>
      </c>
      <c r="H73" s="15" t="s">
        <v>66</v>
      </c>
      <c r="I73" s="15"/>
      <c r="J73" s="15" t="s">
        <v>66</v>
      </c>
      <c r="K73" s="15">
        <v>50</v>
      </c>
      <c r="L73" s="15" t="s">
        <v>66</v>
      </c>
      <c r="M73" s="15" t="s">
        <v>66</v>
      </c>
      <c r="N73" s="28" t="s">
        <v>66</v>
      </c>
      <c r="O73" s="10"/>
    </row>
    <row r="74" spans="1:15" ht="15.75" thickBot="1" x14ac:dyDescent="0.3">
      <c r="A74" s="38"/>
      <c r="B74" s="29" t="s">
        <v>68</v>
      </c>
      <c r="C74" s="30"/>
      <c r="D74" s="30"/>
      <c r="E74" s="30"/>
      <c r="F74" s="30"/>
      <c r="G74" s="30">
        <f>SUM(H74:N74)</f>
        <v>0</v>
      </c>
      <c r="H74" s="31"/>
      <c r="I74" s="31"/>
      <c r="J74" s="31"/>
      <c r="K74" s="31"/>
      <c r="L74" s="31"/>
      <c r="M74" s="31"/>
      <c r="N74" s="32"/>
      <c r="O74" s="10"/>
    </row>
    <row r="75" spans="1:15" x14ac:dyDescent="0.25">
      <c r="A75" s="36">
        <v>19</v>
      </c>
      <c r="B75" s="21" t="s">
        <v>39</v>
      </c>
      <c r="C75" s="22">
        <v>50</v>
      </c>
      <c r="D75" s="22">
        <v>450</v>
      </c>
      <c r="E75" s="22">
        <v>5250</v>
      </c>
      <c r="F75" s="22">
        <f>((D75+C75)*$O$2+E75)-G75+G77-G78</f>
        <v>3600</v>
      </c>
      <c r="G75" s="22">
        <f>SUM(H75:N75)</f>
        <v>3700</v>
      </c>
      <c r="H75" s="23"/>
      <c r="I75" s="23">
        <v>900</v>
      </c>
      <c r="J75" s="23">
        <v>900</v>
      </c>
      <c r="K75" s="23">
        <v>900</v>
      </c>
      <c r="L75" s="23">
        <v>1000</v>
      </c>
      <c r="M75" s="23"/>
      <c r="N75" s="24"/>
      <c r="O75" s="10"/>
    </row>
    <row r="76" spans="1:15" x14ac:dyDescent="0.25">
      <c r="A76" s="37"/>
      <c r="B76" s="25" t="s">
        <v>64</v>
      </c>
      <c r="C76" s="17"/>
      <c r="D76" s="17"/>
      <c r="E76" s="17"/>
      <c r="F76" s="17"/>
      <c r="G76" s="17"/>
      <c r="H76" s="13"/>
      <c r="I76" s="13">
        <v>15</v>
      </c>
      <c r="J76" s="13">
        <v>21</v>
      </c>
      <c r="K76" s="13">
        <v>17</v>
      </c>
      <c r="L76" s="13">
        <v>6</v>
      </c>
      <c r="M76" s="13"/>
      <c r="N76" s="26"/>
      <c r="O76" s="10"/>
    </row>
    <row r="77" spans="1:15" x14ac:dyDescent="0.25">
      <c r="A77" s="37"/>
      <c r="B77" s="27" t="s">
        <v>62</v>
      </c>
      <c r="C77" s="17"/>
      <c r="D77" s="17"/>
      <c r="E77" s="17"/>
      <c r="F77" s="17"/>
      <c r="G77" s="17">
        <f>SUM(H77:N77)</f>
        <v>50</v>
      </c>
      <c r="H77" s="15" t="s">
        <v>66</v>
      </c>
      <c r="I77" s="15" t="s">
        <v>66</v>
      </c>
      <c r="J77" s="15"/>
      <c r="K77" s="15">
        <v>50</v>
      </c>
      <c r="L77" s="15" t="s">
        <v>66</v>
      </c>
      <c r="M77" s="15" t="s">
        <v>66</v>
      </c>
      <c r="N77" s="28" t="s">
        <v>66</v>
      </c>
      <c r="O77" s="10"/>
    </row>
    <row r="78" spans="1:15" ht="15.75" thickBot="1" x14ac:dyDescent="0.3">
      <c r="A78" s="38"/>
      <c r="B78" s="29" t="s">
        <v>68</v>
      </c>
      <c r="C78" s="30"/>
      <c r="D78" s="30"/>
      <c r="E78" s="30"/>
      <c r="F78" s="30"/>
      <c r="G78" s="30">
        <f>SUM(H78:N78)</f>
        <v>0</v>
      </c>
      <c r="H78" s="31"/>
      <c r="I78" s="31"/>
      <c r="J78" s="31"/>
      <c r="K78" s="31"/>
      <c r="L78" s="31"/>
      <c r="M78" s="31"/>
      <c r="N78" s="32"/>
      <c r="O78" s="10"/>
    </row>
    <row r="79" spans="1:15" x14ac:dyDescent="0.25">
      <c r="A79" s="36">
        <v>20</v>
      </c>
      <c r="B79" s="21" t="s">
        <v>40</v>
      </c>
      <c r="C79" s="22">
        <v>50</v>
      </c>
      <c r="D79" s="22">
        <v>350</v>
      </c>
      <c r="E79" s="22">
        <v>1600</v>
      </c>
      <c r="F79" s="22">
        <f>((D79+C79)*$O$2+E79)-G79+G81-G82</f>
        <v>0</v>
      </c>
      <c r="G79" s="22">
        <f>SUM(H79:N79)</f>
        <v>3200</v>
      </c>
      <c r="H79" s="23"/>
      <c r="I79" s="23"/>
      <c r="J79" s="23"/>
      <c r="K79" s="23">
        <v>2800</v>
      </c>
      <c r="L79" s="23">
        <v>400</v>
      </c>
      <c r="M79" s="23"/>
      <c r="N79" s="24"/>
      <c r="O79" s="10"/>
    </row>
    <row r="80" spans="1:15" x14ac:dyDescent="0.25">
      <c r="A80" s="37"/>
      <c r="B80" s="25" t="s">
        <v>64</v>
      </c>
      <c r="C80" s="17"/>
      <c r="D80" s="17"/>
      <c r="E80" s="17"/>
      <c r="F80" s="17"/>
      <c r="G80" s="17"/>
      <c r="H80" s="13"/>
      <c r="I80" s="13"/>
      <c r="J80" s="13"/>
      <c r="K80" s="13">
        <v>13</v>
      </c>
      <c r="L80" s="13">
        <v>10</v>
      </c>
      <c r="M80" s="13"/>
      <c r="N80" s="26"/>
      <c r="O80" s="10"/>
    </row>
    <row r="81" spans="1:15" x14ac:dyDescent="0.25">
      <c r="A81" s="37"/>
      <c r="B81" s="27" t="s">
        <v>62</v>
      </c>
      <c r="C81" s="17"/>
      <c r="D81" s="17"/>
      <c r="E81" s="17"/>
      <c r="F81" s="17"/>
      <c r="G81" s="17">
        <f>SUM(H81:N81)</f>
        <v>0</v>
      </c>
      <c r="H81" s="15" t="s">
        <v>66</v>
      </c>
      <c r="I81" s="15" t="s">
        <v>66</v>
      </c>
      <c r="J81" s="15" t="s">
        <v>66</v>
      </c>
      <c r="K81" s="15" t="s">
        <v>66</v>
      </c>
      <c r="L81" s="15" t="s">
        <v>66</v>
      </c>
      <c r="M81" s="15" t="s">
        <v>66</v>
      </c>
      <c r="N81" s="28" t="s">
        <v>66</v>
      </c>
      <c r="O81" s="10"/>
    </row>
    <row r="82" spans="1:15" ht="15.75" thickBot="1" x14ac:dyDescent="0.3">
      <c r="A82" s="38"/>
      <c r="B82" s="29" t="s">
        <v>68</v>
      </c>
      <c r="C82" s="30"/>
      <c r="D82" s="30"/>
      <c r="E82" s="30"/>
      <c r="F82" s="30"/>
      <c r="G82" s="30">
        <f>SUM(H82:N82)</f>
        <v>0</v>
      </c>
      <c r="H82" s="31"/>
      <c r="I82" s="31"/>
      <c r="J82" s="31"/>
      <c r="K82" s="31"/>
      <c r="L82" s="31"/>
      <c r="M82" s="31"/>
      <c r="N82" s="32"/>
      <c r="O82" s="10"/>
    </row>
    <row r="83" spans="1:15" x14ac:dyDescent="0.25">
      <c r="A83" s="36">
        <v>21</v>
      </c>
      <c r="B83" s="21" t="s">
        <v>41</v>
      </c>
      <c r="C83" s="22"/>
      <c r="D83" s="22">
        <v>350</v>
      </c>
      <c r="E83" s="22">
        <v>6100</v>
      </c>
      <c r="F83" s="22">
        <f>((D83+C83)*$O$2+E83)-G83+G85-G86</f>
        <v>4050</v>
      </c>
      <c r="G83" s="22">
        <f>SUM(H83:N83)</f>
        <v>3500</v>
      </c>
      <c r="H83" s="23"/>
      <c r="I83" s="23"/>
      <c r="J83" s="23">
        <v>3500</v>
      </c>
      <c r="K83" s="23"/>
      <c r="L83" s="23"/>
      <c r="M83" s="23"/>
      <c r="N83" s="24"/>
      <c r="O83" s="10"/>
    </row>
    <row r="84" spans="1:15" x14ac:dyDescent="0.25">
      <c r="A84" s="37"/>
      <c r="B84" s="25" t="s">
        <v>64</v>
      </c>
      <c r="C84" s="17"/>
      <c r="D84" s="17"/>
      <c r="E84" s="17"/>
      <c r="F84" s="17"/>
      <c r="G84" s="17"/>
      <c r="H84" s="13"/>
      <c r="I84" s="13"/>
      <c r="J84" s="13"/>
      <c r="K84" s="13"/>
      <c r="L84" s="13"/>
      <c r="M84" s="13"/>
      <c r="N84" s="26"/>
      <c r="O84" s="10"/>
    </row>
    <row r="85" spans="1:15" x14ac:dyDescent="0.25">
      <c r="A85" s="37"/>
      <c r="B85" s="27" t="s">
        <v>62</v>
      </c>
      <c r="C85" s="17"/>
      <c r="D85" s="17"/>
      <c r="E85" s="17"/>
      <c r="F85" s="17"/>
      <c r="G85" s="17">
        <f>SUM(H85:N85)</f>
        <v>50</v>
      </c>
      <c r="H85" s="15" t="s">
        <v>66</v>
      </c>
      <c r="I85" s="15" t="s">
        <v>66</v>
      </c>
      <c r="J85" s="15" t="s">
        <v>66</v>
      </c>
      <c r="K85" s="15">
        <v>50</v>
      </c>
      <c r="L85" s="15" t="s">
        <v>66</v>
      </c>
      <c r="M85" s="15" t="s">
        <v>66</v>
      </c>
      <c r="N85" s="28" t="s">
        <v>66</v>
      </c>
      <c r="O85" s="10"/>
    </row>
    <row r="86" spans="1:15" ht="15.75" thickBot="1" x14ac:dyDescent="0.3">
      <c r="A86" s="38"/>
      <c r="B86" s="29" t="s">
        <v>68</v>
      </c>
      <c r="C86" s="30"/>
      <c r="D86" s="30"/>
      <c r="E86" s="30"/>
      <c r="F86" s="30"/>
      <c r="G86" s="30">
        <f>SUM(H86:N86)</f>
        <v>0</v>
      </c>
      <c r="H86" s="31"/>
      <c r="I86" s="31"/>
      <c r="J86" s="31"/>
      <c r="K86" s="31"/>
      <c r="L86" s="31"/>
      <c r="M86" s="31"/>
      <c r="N86" s="32"/>
      <c r="O86" s="10"/>
    </row>
    <row r="87" spans="1:15" x14ac:dyDescent="0.25">
      <c r="A87" s="36">
        <v>22</v>
      </c>
      <c r="B87" s="21" t="s">
        <v>41</v>
      </c>
      <c r="C87" s="22"/>
      <c r="D87" s="22">
        <v>350</v>
      </c>
      <c r="E87" s="22">
        <v>6100</v>
      </c>
      <c r="F87" s="22">
        <f>((D87+C87)*$O$2+E87)-G87+G89-G90</f>
        <v>7550</v>
      </c>
      <c r="G87" s="22">
        <f>SUM(H87:N87)</f>
        <v>0</v>
      </c>
      <c r="H87" s="23"/>
      <c r="I87" s="23"/>
      <c r="J87" s="23"/>
      <c r="K87" s="23"/>
      <c r="L87" s="23"/>
      <c r="M87" s="23"/>
      <c r="N87" s="24"/>
      <c r="O87" s="10"/>
    </row>
    <row r="88" spans="1:15" x14ac:dyDescent="0.25">
      <c r="A88" s="37"/>
      <c r="B88" s="25" t="s">
        <v>64</v>
      </c>
      <c r="C88" s="17"/>
      <c r="D88" s="17"/>
      <c r="E88" s="17"/>
      <c r="F88" s="17"/>
      <c r="G88" s="17"/>
      <c r="H88" s="13"/>
      <c r="I88" s="13"/>
      <c r="J88" s="13"/>
      <c r="K88" s="13"/>
      <c r="L88" s="13"/>
      <c r="M88" s="13"/>
      <c r="N88" s="26"/>
      <c r="O88" s="10"/>
    </row>
    <row r="89" spans="1:15" x14ac:dyDescent="0.25">
      <c r="A89" s="37"/>
      <c r="B89" s="27" t="s">
        <v>62</v>
      </c>
      <c r="C89" s="17"/>
      <c r="D89" s="17"/>
      <c r="E89" s="17"/>
      <c r="F89" s="17"/>
      <c r="G89" s="17">
        <f>SUM(H89:N89)</f>
        <v>50</v>
      </c>
      <c r="H89" s="15" t="s">
        <v>66</v>
      </c>
      <c r="I89" s="15" t="s">
        <v>66</v>
      </c>
      <c r="J89" s="15" t="s">
        <v>66</v>
      </c>
      <c r="K89" s="15">
        <v>50</v>
      </c>
      <c r="L89" s="15" t="s">
        <v>66</v>
      </c>
      <c r="M89" s="15" t="s">
        <v>66</v>
      </c>
      <c r="N89" s="28" t="s">
        <v>66</v>
      </c>
      <c r="O89" s="10"/>
    </row>
    <row r="90" spans="1:15" ht="15.75" thickBot="1" x14ac:dyDescent="0.3">
      <c r="A90" s="38"/>
      <c r="B90" s="29" t="s">
        <v>68</v>
      </c>
      <c r="C90" s="30"/>
      <c r="D90" s="30"/>
      <c r="E90" s="30"/>
      <c r="F90" s="30"/>
      <c r="G90" s="30">
        <f>SUM(H90:N90)</f>
        <v>0</v>
      </c>
      <c r="H90" s="31"/>
      <c r="I90" s="31"/>
      <c r="J90" s="31"/>
      <c r="K90" s="31"/>
      <c r="L90" s="31"/>
      <c r="M90" s="31"/>
      <c r="N90" s="32"/>
      <c r="O90" s="10"/>
    </row>
    <row r="91" spans="1:15" x14ac:dyDescent="0.25">
      <c r="A91" s="36">
        <v>23</v>
      </c>
      <c r="B91" s="21" t="s">
        <v>42</v>
      </c>
      <c r="C91" s="22">
        <v>50</v>
      </c>
      <c r="D91" s="22">
        <v>350</v>
      </c>
      <c r="E91" s="22">
        <v>2000</v>
      </c>
      <c r="F91" s="22">
        <f>((D91+C91)*$O$2+E91)-G91+G93-G94</f>
        <v>2400</v>
      </c>
      <c r="G91" s="22">
        <f>SUM(H91:N91)</f>
        <v>1200</v>
      </c>
      <c r="H91" s="23"/>
      <c r="I91" s="23">
        <v>400</v>
      </c>
      <c r="J91" s="23">
        <v>400</v>
      </c>
      <c r="K91" s="23">
        <v>400</v>
      </c>
      <c r="L91" s="23"/>
      <c r="M91" s="23"/>
      <c r="N91" s="24"/>
      <c r="O91" s="10"/>
    </row>
    <row r="92" spans="1:15" x14ac:dyDescent="0.25">
      <c r="A92" s="37"/>
      <c r="B92" s="25" t="s">
        <v>64</v>
      </c>
      <c r="C92" s="17"/>
      <c r="D92" s="17"/>
      <c r="E92" s="17"/>
      <c r="F92" s="17"/>
      <c r="G92" s="17"/>
      <c r="H92" s="13"/>
      <c r="I92" s="13">
        <v>7</v>
      </c>
      <c r="J92" s="13">
        <v>17</v>
      </c>
      <c r="K92" s="13">
        <v>12</v>
      </c>
      <c r="L92" s="13"/>
      <c r="M92" s="13"/>
      <c r="N92" s="26"/>
      <c r="O92" s="10"/>
    </row>
    <row r="93" spans="1:15" x14ac:dyDescent="0.25">
      <c r="A93" s="37"/>
      <c r="B93" s="27" t="s">
        <v>62</v>
      </c>
      <c r="C93" s="17"/>
      <c r="D93" s="17"/>
      <c r="E93" s="17"/>
      <c r="F93" s="17"/>
      <c r="G93" s="17">
        <f>SUM(H93:N93)</f>
        <v>0</v>
      </c>
      <c r="H93" s="15" t="s">
        <v>66</v>
      </c>
      <c r="I93" s="15" t="s">
        <v>66</v>
      </c>
      <c r="J93" s="15"/>
      <c r="K93" s="15" t="s">
        <v>66</v>
      </c>
      <c r="L93" s="15" t="s">
        <v>66</v>
      </c>
      <c r="M93" s="15" t="s">
        <v>66</v>
      </c>
      <c r="N93" s="28" t="s">
        <v>66</v>
      </c>
      <c r="O93" s="10"/>
    </row>
    <row r="94" spans="1:15" ht="15.75" thickBot="1" x14ac:dyDescent="0.3">
      <c r="A94" s="38"/>
      <c r="B94" s="29" t="s">
        <v>68</v>
      </c>
      <c r="C94" s="30"/>
      <c r="D94" s="30"/>
      <c r="E94" s="30"/>
      <c r="F94" s="30"/>
      <c r="G94" s="30">
        <f>SUM(H94:N94)</f>
        <v>0</v>
      </c>
      <c r="H94" s="31"/>
      <c r="I94" s="31"/>
      <c r="J94" s="31"/>
      <c r="K94" s="31"/>
      <c r="L94" s="31"/>
      <c r="M94" s="31"/>
      <c r="N94" s="32"/>
      <c r="O94" s="10"/>
    </row>
    <row r="95" spans="1:15" x14ac:dyDescent="0.25">
      <c r="A95" s="36">
        <v>24</v>
      </c>
      <c r="B95" s="21" t="s">
        <v>43</v>
      </c>
      <c r="C95" s="22">
        <v>50</v>
      </c>
      <c r="D95" s="22">
        <v>350</v>
      </c>
      <c r="E95" s="22">
        <v>1200</v>
      </c>
      <c r="F95" s="22">
        <f>((D95+C95)*$O$2+E95)-G95+G97-G98</f>
        <v>1200</v>
      </c>
      <c r="G95" s="22">
        <f>SUM(H95:N95)</f>
        <v>1600</v>
      </c>
      <c r="H95" s="23"/>
      <c r="I95" s="23"/>
      <c r="J95" s="23"/>
      <c r="K95" s="23">
        <v>800</v>
      </c>
      <c r="L95" s="23">
        <v>800</v>
      </c>
      <c r="M95" s="23"/>
      <c r="N95" s="24"/>
      <c r="O95" s="10"/>
    </row>
    <row r="96" spans="1:15" x14ac:dyDescent="0.25">
      <c r="A96" s="37"/>
      <c r="B96" s="25" t="s">
        <v>64</v>
      </c>
      <c r="C96" s="17"/>
      <c r="D96" s="17"/>
      <c r="E96" s="17"/>
      <c r="F96" s="17"/>
      <c r="G96" s="17"/>
      <c r="H96" s="13"/>
      <c r="I96" s="13"/>
      <c r="J96" s="13"/>
      <c r="K96" s="13">
        <v>14</v>
      </c>
      <c r="L96" s="13">
        <v>10</v>
      </c>
      <c r="M96" s="13"/>
      <c r="N96" s="26"/>
      <c r="O96" s="10"/>
    </row>
    <row r="97" spans="1:15" x14ac:dyDescent="0.25">
      <c r="A97" s="37"/>
      <c r="B97" s="27" t="s">
        <v>62</v>
      </c>
      <c r="C97" s="17"/>
      <c r="D97" s="17"/>
      <c r="E97" s="17"/>
      <c r="F97" s="17"/>
      <c r="G97" s="17">
        <f>SUM(H97:N97)</f>
        <v>0</v>
      </c>
      <c r="H97" s="15" t="s">
        <v>66</v>
      </c>
      <c r="I97" s="15" t="s">
        <v>66</v>
      </c>
      <c r="J97" s="15" t="s">
        <v>66</v>
      </c>
      <c r="K97" s="15" t="s">
        <v>66</v>
      </c>
      <c r="L97" s="15" t="s">
        <v>66</v>
      </c>
      <c r="M97" s="15" t="s">
        <v>66</v>
      </c>
      <c r="N97" s="28" t="s">
        <v>66</v>
      </c>
      <c r="O97" s="10"/>
    </row>
    <row r="98" spans="1:15" ht="15.75" thickBot="1" x14ac:dyDescent="0.3">
      <c r="A98" s="38"/>
      <c r="B98" s="29" t="s">
        <v>68</v>
      </c>
      <c r="C98" s="30"/>
      <c r="D98" s="30"/>
      <c r="E98" s="30"/>
      <c r="F98" s="30"/>
      <c r="G98" s="30">
        <f>SUM(H98:N98)</f>
        <v>0</v>
      </c>
      <c r="H98" s="31"/>
      <c r="I98" s="31"/>
      <c r="J98" s="31"/>
      <c r="K98" s="31"/>
      <c r="L98" s="31"/>
      <c r="M98" s="31"/>
      <c r="N98" s="32"/>
      <c r="O98" s="10"/>
    </row>
    <row r="99" spans="1:15" x14ac:dyDescent="0.25">
      <c r="A99" s="36">
        <v>25</v>
      </c>
      <c r="B99" s="21" t="s">
        <v>44</v>
      </c>
      <c r="C99" s="22">
        <v>50</v>
      </c>
      <c r="D99" s="22">
        <v>350</v>
      </c>
      <c r="E99" s="22">
        <v>6650</v>
      </c>
      <c r="F99" s="22">
        <f>((D99+C99)*$O$2+E99)-G99+G101-G102</f>
        <v>3500</v>
      </c>
      <c r="G99" s="22">
        <f>SUM(H99:N99)</f>
        <v>4800</v>
      </c>
      <c r="H99" s="23"/>
      <c r="I99" s="23"/>
      <c r="J99" s="23">
        <v>2800</v>
      </c>
      <c r="K99" s="23">
        <v>2000</v>
      </c>
      <c r="L99" s="23"/>
      <c r="M99" s="23"/>
      <c r="N99" s="24"/>
      <c r="O99" s="10"/>
    </row>
    <row r="100" spans="1:15" x14ac:dyDescent="0.25">
      <c r="A100" s="37"/>
      <c r="B100" s="25" t="s">
        <v>64</v>
      </c>
      <c r="C100" s="17"/>
      <c r="D100" s="17"/>
      <c r="E100" s="17"/>
      <c r="F100" s="17"/>
      <c r="G100" s="17"/>
      <c r="H100" s="13"/>
      <c r="I100" s="13"/>
      <c r="J100" s="13">
        <v>5</v>
      </c>
      <c r="K100" s="13">
        <v>16</v>
      </c>
      <c r="L100" s="13"/>
      <c r="M100" s="13"/>
      <c r="N100" s="26"/>
      <c r="O100" s="10"/>
    </row>
    <row r="101" spans="1:15" x14ac:dyDescent="0.25">
      <c r="A101" s="37"/>
      <c r="B101" s="27" t="s">
        <v>62</v>
      </c>
      <c r="C101" s="17"/>
      <c r="D101" s="17"/>
      <c r="E101" s="17"/>
      <c r="F101" s="17"/>
      <c r="G101" s="17">
        <f>SUM(H101:N101)</f>
        <v>50</v>
      </c>
      <c r="H101" s="15" t="s">
        <v>66</v>
      </c>
      <c r="I101" s="15" t="s">
        <v>66</v>
      </c>
      <c r="J101" s="15" t="s">
        <v>66</v>
      </c>
      <c r="K101" s="15">
        <v>50</v>
      </c>
      <c r="L101" s="15" t="s">
        <v>66</v>
      </c>
      <c r="M101" s="15" t="s">
        <v>66</v>
      </c>
      <c r="N101" s="28" t="s">
        <v>66</v>
      </c>
      <c r="O101" s="10"/>
    </row>
    <row r="102" spans="1:15" ht="15.75" thickBot="1" x14ac:dyDescent="0.3">
      <c r="A102" s="38"/>
      <c r="B102" s="29" t="s">
        <v>68</v>
      </c>
      <c r="C102" s="30"/>
      <c r="D102" s="30"/>
      <c r="E102" s="30"/>
      <c r="F102" s="30"/>
      <c r="G102" s="30">
        <f>SUM(H102:N102)</f>
        <v>0</v>
      </c>
      <c r="H102" s="31"/>
      <c r="I102" s="31"/>
      <c r="J102" s="31"/>
      <c r="K102" s="31"/>
      <c r="L102" s="31"/>
      <c r="M102" s="31"/>
      <c r="N102" s="32"/>
      <c r="O102" s="10"/>
    </row>
    <row r="103" spans="1:15" x14ac:dyDescent="0.25">
      <c r="A103" s="36">
        <v>26</v>
      </c>
      <c r="B103" s="21" t="s">
        <v>45</v>
      </c>
      <c r="C103" s="22"/>
      <c r="D103" s="22">
        <v>350</v>
      </c>
      <c r="E103" s="22">
        <v>1400</v>
      </c>
      <c r="F103" s="22">
        <f>((D103+C103)*$O$2+E103)-G103+G105-G106</f>
        <v>2850</v>
      </c>
      <c r="G103" s="22">
        <f>SUM(H103:N103)</f>
        <v>0</v>
      </c>
      <c r="H103" s="23"/>
      <c r="I103" s="23"/>
      <c r="J103" s="23"/>
      <c r="K103" s="23"/>
      <c r="L103" s="23"/>
      <c r="M103" s="23"/>
      <c r="N103" s="24"/>
      <c r="O103" s="10"/>
    </row>
    <row r="104" spans="1:15" x14ac:dyDescent="0.25">
      <c r="A104" s="37"/>
      <c r="B104" s="25" t="s">
        <v>64</v>
      </c>
      <c r="C104" s="17"/>
      <c r="D104" s="17"/>
      <c r="E104" s="17"/>
      <c r="F104" s="17"/>
      <c r="G104" s="17"/>
      <c r="H104" s="13"/>
      <c r="I104" s="13"/>
      <c r="J104" s="13"/>
      <c r="K104" s="13"/>
      <c r="L104" s="13"/>
      <c r="M104" s="13"/>
      <c r="N104" s="26"/>
      <c r="O104" s="10"/>
    </row>
    <row r="105" spans="1:15" x14ac:dyDescent="0.25">
      <c r="A105" s="37"/>
      <c r="B105" s="27" t="s">
        <v>62</v>
      </c>
      <c r="C105" s="17"/>
      <c r="D105" s="17"/>
      <c r="E105" s="17"/>
      <c r="F105" s="17"/>
      <c r="G105" s="17">
        <f>SUM(H105:N105)</f>
        <v>50</v>
      </c>
      <c r="H105" s="15" t="s">
        <v>66</v>
      </c>
      <c r="I105" s="15" t="s">
        <v>66</v>
      </c>
      <c r="J105" s="15" t="s">
        <v>66</v>
      </c>
      <c r="K105" s="15">
        <v>50</v>
      </c>
      <c r="L105" s="15" t="s">
        <v>66</v>
      </c>
      <c r="M105" s="15" t="s">
        <v>66</v>
      </c>
      <c r="N105" s="28" t="s">
        <v>66</v>
      </c>
      <c r="O105" s="10"/>
    </row>
    <row r="106" spans="1:15" ht="15.75" thickBot="1" x14ac:dyDescent="0.3">
      <c r="A106" s="38"/>
      <c r="B106" s="29" t="s">
        <v>68</v>
      </c>
      <c r="C106" s="30"/>
      <c r="D106" s="30"/>
      <c r="E106" s="30"/>
      <c r="F106" s="30"/>
      <c r="G106" s="30">
        <f>SUM(H106:N106)</f>
        <v>0</v>
      </c>
      <c r="H106" s="31"/>
      <c r="I106" s="31"/>
      <c r="J106" s="31"/>
      <c r="K106" s="31"/>
      <c r="L106" s="31"/>
      <c r="M106" s="31"/>
      <c r="N106" s="32"/>
      <c r="O106" s="10"/>
    </row>
    <row r="107" spans="1:15" x14ac:dyDescent="0.25">
      <c r="A107" s="36">
        <v>27</v>
      </c>
      <c r="B107" s="21" t="s">
        <v>46</v>
      </c>
      <c r="C107" s="22"/>
      <c r="D107" s="22">
        <v>450</v>
      </c>
      <c r="E107" s="22">
        <v>15100</v>
      </c>
      <c r="F107" s="22">
        <f>((D107+C107)*$O$2+E107)-G107+G109-G110</f>
        <v>16950</v>
      </c>
      <c r="G107" s="22">
        <f>SUM(H107:N107)</f>
        <v>0</v>
      </c>
      <c r="H107" s="23"/>
      <c r="I107" s="23"/>
      <c r="J107" s="23"/>
      <c r="K107" s="23"/>
      <c r="L107" s="23"/>
      <c r="M107" s="23"/>
      <c r="N107" s="24"/>
      <c r="O107" s="10"/>
    </row>
    <row r="108" spans="1:15" x14ac:dyDescent="0.25">
      <c r="A108" s="37"/>
      <c r="B108" s="25" t="s">
        <v>64</v>
      </c>
      <c r="C108" s="17"/>
      <c r="D108" s="17"/>
      <c r="E108" s="17"/>
      <c r="F108" s="17"/>
      <c r="G108" s="17"/>
      <c r="H108" s="13"/>
      <c r="I108" s="13"/>
      <c r="J108" s="13"/>
      <c r="K108" s="13"/>
      <c r="L108" s="13"/>
      <c r="M108" s="13"/>
      <c r="N108" s="26"/>
      <c r="O108" s="10"/>
    </row>
    <row r="109" spans="1:15" x14ac:dyDescent="0.25">
      <c r="A109" s="37"/>
      <c r="B109" s="27" t="s">
        <v>62</v>
      </c>
      <c r="C109" s="17"/>
      <c r="D109" s="17"/>
      <c r="E109" s="17"/>
      <c r="F109" s="17"/>
      <c r="G109" s="17">
        <f>SUM(H109:N109)</f>
        <v>50</v>
      </c>
      <c r="H109" s="15" t="s">
        <v>66</v>
      </c>
      <c r="I109" s="15" t="s">
        <v>66</v>
      </c>
      <c r="J109" s="15" t="s">
        <v>66</v>
      </c>
      <c r="K109" s="15">
        <v>50</v>
      </c>
      <c r="L109" s="15" t="s">
        <v>66</v>
      </c>
      <c r="M109" s="15" t="s">
        <v>66</v>
      </c>
      <c r="N109" s="28" t="s">
        <v>66</v>
      </c>
      <c r="O109" s="10"/>
    </row>
    <row r="110" spans="1:15" ht="15.75" thickBot="1" x14ac:dyDescent="0.3">
      <c r="A110" s="38"/>
      <c r="B110" s="29" t="s">
        <v>68</v>
      </c>
      <c r="C110" s="30"/>
      <c r="D110" s="30"/>
      <c r="E110" s="30"/>
      <c r="F110" s="30"/>
      <c r="G110" s="30">
        <f>SUM(H110:N110)</f>
        <v>0</v>
      </c>
      <c r="H110" s="31"/>
      <c r="I110" s="31"/>
      <c r="J110" s="31"/>
      <c r="K110" s="31"/>
      <c r="L110" s="31"/>
      <c r="M110" s="31"/>
      <c r="N110" s="32"/>
      <c r="O110" s="10"/>
    </row>
    <row r="111" spans="1:15" x14ac:dyDescent="0.25">
      <c r="A111" s="36">
        <v>28</v>
      </c>
      <c r="B111" s="21" t="s">
        <v>47</v>
      </c>
      <c r="C111" s="22"/>
      <c r="D111" s="22">
        <v>300</v>
      </c>
      <c r="E111" s="22">
        <v>7300</v>
      </c>
      <c r="F111" s="22">
        <f>((D111+C111)*$O$2+E111)-G111+G113-G114</f>
        <v>6800</v>
      </c>
      <c r="G111" s="22">
        <f>SUM(H111:N111)</f>
        <v>1700</v>
      </c>
      <c r="H111" s="23"/>
      <c r="I111" s="23">
        <v>400</v>
      </c>
      <c r="J111" s="23">
        <v>1000</v>
      </c>
      <c r="K111" s="23">
        <v>300</v>
      </c>
      <c r="L111" s="23"/>
      <c r="M111" s="23"/>
      <c r="N111" s="24"/>
      <c r="O111" s="10"/>
    </row>
    <row r="112" spans="1:15" x14ac:dyDescent="0.25">
      <c r="A112" s="37"/>
      <c r="B112" s="25" t="s">
        <v>64</v>
      </c>
      <c r="C112" s="17"/>
      <c r="D112" s="17"/>
      <c r="E112" s="17"/>
      <c r="F112" s="17"/>
      <c r="G112" s="17"/>
      <c r="H112" s="13"/>
      <c r="I112" s="13">
        <v>4</v>
      </c>
      <c r="J112" s="13">
        <v>8</v>
      </c>
      <c r="K112" s="13">
        <v>13</v>
      </c>
      <c r="L112" s="13"/>
      <c r="M112" s="13"/>
      <c r="N112" s="26"/>
      <c r="O112" s="10"/>
    </row>
    <row r="113" spans="1:15" x14ac:dyDescent="0.25">
      <c r="A113" s="37"/>
      <c r="B113" s="27" t="s">
        <v>62</v>
      </c>
      <c r="C113" s="17"/>
      <c r="D113" s="17"/>
      <c r="E113" s="17"/>
      <c r="F113" s="17"/>
      <c r="G113" s="17">
        <f>SUM(H113:N113)</f>
        <v>0</v>
      </c>
      <c r="H113" s="15" t="s">
        <v>66</v>
      </c>
      <c r="I113" s="15" t="s">
        <v>66</v>
      </c>
      <c r="J113" s="15" t="s">
        <v>66</v>
      </c>
      <c r="K113" s="15" t="s">
        <v>66</v>
      </c>
      <c r="L113" s="15" t="s">
        <v>66</v>
      </c>
      <c r="M113" s="15" t="s">
        <v>66</v>
      </c>
      <c r="N113" s="28" t="s">
        <v>66</v>
      </c>
      <c r="O113" s="10"/>
    </row>
    <row r="114" spans="1:15" ht="15.75" thickBot="1" x14ac:dyDescent="0.3">
      <c r="A114" s="38"/>
      <c r="B114" s="29" t="s">
        <v>68</v>
      </c>
      <c r="C114" s="30"/>
      <c r="D114" s="30"/>
      <c r="E114" s="30"/>
      <c r="F114" s="30"/>
      <c r="G114" s="30">
        <f>SUM(H114:N114)</f>
        <v>0</v>
      </c>
      <c r="H114" s="31"/>
      <c r="I114" s="31"/>
      <c r="J114" s="31"/>
      <c r="K114" s="31"/>
      <c r="L114" s="31"/>
      <c r="M114" s="31"/>
      <c r="N114" s="32"/>
      <c r="O114" s="10"/>
    </row>
    <row r="115" spans="1:15" x14ac:dyDescent="0.25">
      <c r="A115" s="36">
        <v>29</v>
      </c>
      <c r="B115" s="21" t="s">
        <v>48</v>
      </c>
      <c r="C115" s="22">
        <v>50</v>
      </c>
      <c r="D115" s="22">
        <v>350</v>
      </c>
      <c r="E115" s="22"/>
      <c r="F115" s="22">
        <f>((D115+C115)*$O$2+E115)-G115+G117-G118</f>
        <v>400</v>
      </c>
      <c r="G115" s="22">
        <f>SUM(H115:N115)</f>
        <v>1200</v>
      </c>
      <c r="H115" s="23"/>
      <c r="I115" s="23"/>
      <c r="J115" s="23"/>
      <c r="K115" s="23">
        <v>1200</v>
      </c>
      <c r="L115" s="23"/>
      <c r="M115" s="23"/>
      <c r="N115" s="24"/>
      <c r="O115" s="10"/>
    </row>
    <row r="116" spans="1:15" x14ac:dyDescent="0.25">
      <c r="A116" s="37"/>
      <c r="B116" s="25" t="s">
        <v>64</v>
      </c>
      <c r="C116" s="17"/>
      <c r="D116" s="17"/>
      <c r="E116" s="17"/>
      <c r="F116" s="17"/>
      <c r="G116" s="17"/>
      <c r="H116" s="13"/>
      <c r="I116" s="13"/>
      <c r="J116" s="13"/>
      <c r="K116" s="13">
        <v>13</v>
      </c>
      <c r="L116" s="13"/>
      <c r="M116" s="13"/>
      <c r="N116" s="26"/>
      <c r="O116" s="10"/>
    </row>
    <row r="117" spans="1:15" x14ac:dyDescent="0.25">
      <c r="A117" s="37"/>
      <c r="B117" s="27" t="s">
        <v>62</v>
      </c>
      <c r="C117" s="17"/>
      <c r="D117" s="17"/>
      <c r="E117" s="17"/>
      <c r="F117" s="17"/>
      <c r="G117" s="17">
        <f>SUM(H117:N117)</f>
        <v>0</v>
      </c>
      <c r="H117" s="15" t="s">
        <v>66</v>
      </c>
      <c r="I117" s="15" t="s">
        <v>66</v>
      </c>
      <c r="J117" s="15" t="s">
        <v>66</v>
      </c>
      <c r="K117" s="15" t="s">
        <v>66</v>
      </c>
      <c r="L117" s="15" t="s">
        <v>66</v>
      </c>
      <c r="M117" s="15" t="s">
        <v>66</v>
      </c>
      <c r="N117" s="28" t="s">
        <v>66</v>
      </c>
      <c r="O117" s="10"/>
    </row>
    <row r="118" spans="1:15" ht="15.75" thickBot="1" x14ac:dyDescent="0.3">
      <c r="A118" s="38"/>
      <c r="B118" s="29" t="s">
        <v>68</v>
      </c>
      <c r="C118" s="30"/>
      <c r="D118" s="30"/>
      <c r="E118" s="30"/>
      <c r="F118" s="30"/>
      <c r="G118" s="30">
        <f>SUM(H118:N118)</f>
        <v>0</v>
      </c>
      <c r="H118" s="31"/>
      <c r="I118" s="31"/>
      <c r="J118" s="31"/>
      <c r="K118" s="31"/>
      <c r="L118" s="31"/>
      <c r="M118" s="31"/>
      <c r="N118" s="32"/>
      <c r="O118" s="10"/>
    </row>
    <row r="119" spans="1:15" x14ac:dyDescent="0.25">
      <c r="A119" s="36">
        <v>30</v>
      </c>
      <c r="B119" s="21" t="s">
        <v>49</v>
      </c>
      <c r="C119" s="22"/>
      <c r="D119" s="22">
        <v>300</v>
      </c>
      <c r="E119" s="22">
        <v>20100</v>
      </c>
      <c r="F119" s="22">
        <f>((D119+C119)*$O$2+E119)-G119+G121-G122</f>
        <v>13000</v>
      </c>
      <c r="G119" s="22">
        <f>SUM(H119:N119)</f>
        <v>8350</v>
      </c>
      <c r="H119" s="23"/>
      <c r="I119" s="23">
        <v>5000</v>
      </c>
      <c r="J119" s="23"/>
      <c r="K119" s="23"/>
      <c r="L119" s="23">
        <v>3350</v>
      </c>
      <c r="M119" s="23"/>
      <c r="N119" s="24"/>
      <c r="O119" s="10"/>
    </row>
    <row r="120" spans="1:15" x14ac:dyDescent="0.25">
      <c r="A120" s="37"/>
      <c r="B120" s="25" t="s">
        <v>64</v>
      </c>
      <c r="C120" s="17"/>
      <c r="D120" s="17"/>
      <c r="E120" s="17"/>
      <c r="F120" s="17"/>
      <c r="G120" s="17"/>
      <c r="H120" s="13"/>
      <c r="I120" s="13"/>
      <c r="J120" s="13"/>
      <c r="K120" s="13"/>
      <c r="L120" s="13">
        <v>7</v>
      </c>
      <c r="M120" s="13"/>
      <c r="N120" s="26"/>
      <c r="O120" s="10"/>
    </row>
    <row r="121" spans="1:15" x14ac:dyDescent="0.25">
      <c r="A121" s="37"/>
      <c r="B121" s="27" t="s">
        <v>62</v>
      </c>
      <c r="C121" s="17"/>
      <c r="D121" s="17"/>
      <c r="E121" s="17"/>
      <c r="F121" s="17"/>
      <c r="G121" s="17">
        <f>SUM(H121:N121)</f>
        <v>50</v>
      </c>
      <c r="H121" s="15" t="s">
        <v>66</v>
      </c>
      <c r="I121" s="15" t="s">
        <v>66</v>
      </c>
      <c r="J121" s="15" t="s">
        <v>66</v>
      </c>
      <c r="K121" s="15">
        <v>50</v>
      </c>
      <c r="L121" s="15" t="s">
        <v>66</v>
      </c>
      <c r="M121" s="15" t="s">
        <v>66</v>
      </c>
      <c r="N121" s="28" t="s">
        <v>66</v>
      </c>
      <c r="O121" s="10"/>
    </row>
    <row r="122" spans="1:15" ht="15.75" thickBot="1" x14ac:dyDescent="0.3">
      <c r="A122" s="38"/>
      <c r="B122" s="29" t="s">
        <v>68</v>
      </c>
      <c r="C122" s="30"/>
      <c r="D122" s="30"/>
      <c r="E122" s="30"/>
      <c r="F122" s="30"/>
      <c r="G122" s="30">
        <f>SUM(H122:N122)</f>
        <v>0</v>
      </c>
      <c r="H122" s="31"/>
      <c r="I122" s="31"/>
      <c r="J122" s="31"/>
      <c r="K122" s="31"/>
      <c r="L122" s="31"/>
      <c r="M122" s="31"/>
      <c r="N122" s="32"/>
      <c r="O122" s="10"/>
    </row>
    <row r="123" spans="1:15" ht="15.75" thickBot="1" x14ac:dyDescent="0.3">
      <c r="A123" s="10"/>
      <c r="B123" s="12"/>
      <c r="C123" s="33">
        <f t="shared" ref="C123:D123" si="10">C119+C115+C111+C107+C103+C99+C95+C91+C87+C83+C79+C75+C71+C67+C63+C59+C55+C51+C47+C43+C39+C35+C31+C27+C23+C19+C15+C11+C7+C3</f>
        <v>550</v>
      </c>
      <c r="D123" s="33">
        <f t="shared" si="10"/>
        <v>10700</v>
      </c>
      <c r="E123" s="10"/>
      <c r="F123" s="10"/>
      <c r="G123" s="10">
        <f t="shared" ref="G123:K123" si="11">G119+G115+G111+G107+G103+G99+G95+G91+G87+G83+G79+G75+G71+G67+G63+G59+G55+G51+G47+G43+G39+G35+G31+G27+G23+G19+G15+G11+G7+G3</f>
        <v>63650</v>
      </c>
      <c r="H123" s="10">
        <f t="shared" si="11"/>
        <v>0</v>
      </c>
      <c r="I123" s="10">
        <f t="shared" si="11"/>
        <v>11450</v>
      </c>
      <c r="J123" s="10">
        <f t="shared" si="11"/>
        <v>15200</v>
      </c>
      <c r="K123" s="10">
        <f t="shared" si="11"/>
        <v>24250</v>
      </c>
      <c r="L123" s="10">
        <f>L119+L115+L111+L107+L103+L99+L95+L91+L87+L83+L79+L75+L71+L67+L63+L59+L55+L51+L47+L43+L39+L35+L31+L27+L23+L19+L15+L11+L7+L3</f>
        <v>12750</v>
      </c>
      <c r="M123" s="10">
        <f>M119+M115+M111+M107+M103+M99+M95+M91+M87+M83+M79+M75+M71+M67+M63+M59+M55+M51+M47+M43+M39+M35+M31+M27+M23+M19+M15+M11+M7+M3</f>
        <v>0</v>
      </c>
      <c r="N123" s="10">
        <f>N119+N115+N111+N107+N103+N99+N95+N91+N87+N83+N79+N75+N71+N67+N63+N59+N55+N51+N47+N43+N39+N35+N31+N27+N23+N19+N15+N11+N7+N3</f>
        <v>0</v>
      </c>
      <c r="O123" s="10"/>
    </row>
    <row r="124" spans="1:15" ht="15.75" thickBot="1" x14ac:dyDescent="0.3">
      <c r="C124" s="34"/>
      <c r="D124" s="35" t="str">
        <f>D123+C123&amp;" per month"</f>
        <v>11250 per month</v>
      </c>
      <c r="E124">
        <v>8100</v>
      </c>
    </row>
    <row r="125" spans="1:15" x14ac:dyDescent="0.25">
      <c r="D125">
        <v>135000</v>
      </c>
      <c r="E125">
        <f>E124*12</f>
        <v>97200</v>
      </c>
      <c r="F125">
        <f>D125-E125</f>
        <v>37800</v>
      </c>
    </row>
    <row r="127" spans="1:15" x14ac:dyDescent="0.25">
      <c r="B127" t="s">
        <v>80</v>
      </c>
      <c r="C127" t="s">
        <v>81</v>
      </c>
      <c r="D127">
        <v>5000</v>
      </c>
    </row>
    <row r="128" spans="1:15" x14ac:dyDescent="0.25">
      <c r="C128" t="s">
        <v>82</v>
      </c>
      <c r="D128">
        <v>3000</v>
      </c>
    </row>
    <row r="129" spans="3:4" x14ac:dyDescent="0.25">
      <c r="C129" t="s">
        <v>83</v>
      </c>
      <c r="D129">
        <v>1500</v>
      </c>
    </row>
    <row r="130" spans="3:4" x14ac:dyDescent="0.25">
      <c r="C130" t="s">
        <v>84</v>
      </c>
      <c r="D130">
        <v>1000</v>
      </c>
    </row>
    <row r="131" spans="3:4" x14ac:dyDescent="0.25">
      <c r="C131" t="s">
        <v>86</v>
      </c>
      <c r="D131">
        <v>1500</v>
      </c>
    </row>
    <row r="132" spans="3:4" x14ac:dyDescent="0.25">
      <c r="C132" t="s">
        <v>85</v>
      </c>
      <c r="D132">
        <v>2000</v>
      </c>
    </row>
  </sheetData>
  <mergeCells count="30">
    <mergeCell ref="A99:A102"/>
    <mergeCell ref="A103:A106"/>
    <mergeCell ref="A107:A110"/>
    <mergeCell ref="A111:A114"/>
    <mergeCell ref="A115:A118"/>
    <mergeCell ref="A119:A122"/>
    <mergeCell ref="A75:A78"/>
    <mergeCell ref="A79:A82"/>
    <mergeCell ref="A83:A86"/>
    <mergeCell ref="A87:A90"/>
    <mergeCell ref="A91:A94"/>
    <mergeCell ref="A95:A98"/>
    <mergeCell ref="A51:A54"/>
    <mergeCell ref="A55:A58"/>
    <mergeCell ref="A59:A62"/>
    <mergeCell ref="A63:A66"/>
    <mergeCell ref="A67:A70"/>
    <mergeCell ref="A71:A74"/>
    <mergeCell ref="A27:A30"/>
    <mergeCell ref="A31:A34"/>
    <mergeCell ref="A35:A38"/>
    <mergeCell ref="A39:A42"/>
    <mergeCell ref="A43:A46"/>
    <mergeCell ref="A47:A50"/>
    <mergeCell ref="A3:A6"/>
    <mergeCell ref="A7:A10"/>
    <mergeCell ref="A11:A14"/>
    <mergeCell ref="A15:A18"/>
    <mergeCell ref="A19:A22"/>
    <mergeCell ref="A23:A26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3"/>
  <sheetViews>
    <sheetView workbookViewId="0">
      <selection activeCell="B8" sqref="B8"/>
    </sheetView>
  </sheetViews>
  <sheetFormatPr defaultRowHeight="15" x14ac:dyDescent="0.25"/>
  <cols>
    <col min="2" max="2" width="29.85546875" bestFit="1" customWidth="1"/>
    <col min="6" max="6" width="16.5703125" bestFit="1" customWidth="1"/>
  </cols>
  <sheetData>
    <row r="1" spans="1:3" x14ac:dyDescent="0.25">
      <c r="B1" t="s">
        <v>71</v>
      </c>
    </row>
    <row r="2" spans="1:3" x14ac:dyDescent="0.25">
      <c r="A2" t="s">
        <v>79</v>
      </c>
      <c r="B2" t="s">
        <v>72</v>
      </c>
      <c r="C2" t="s">
        <v>73</v>
      </c>
    </row>
    <row r="3" spans="1:3" x14ac:dyDescent="0.25">
      <c r="A3">
        <v>2014</v>
      </c>
      <c r="B3" t="s">
        <v>21</v>
      </c>
      <c r="C3">
        <v>9510</v>
      </c>
    </row>
    <row r="4" spans="1:3" x14ac:dyDescent="0.25">
      <c r="A4">
        <v>2014</v>
      </c>
      <c r="B4" t="s">
        <v>22</v>
      </c>
      <c r="C4">
        <v>5520</v>
      </c>
    </row>
    <row r="5" spans="1:3" x14ac:dyDescent="0.25">
      <c r="A5">
        <v>2014</v>
      </c>
      <c r="B5" t="s">
        <v>23</v>
      </c>
      <c r="C5">
        <v>3960</v>
      </c>
    </row>
    <row r="6" spans="1:3" x14ac:dyDescent="0.25">
      <c r="A6">
        <v>2014</v>
      </c>
      <c r="B6" t="s">
        <v>58</v>
      </c>
      <c r="C6">
        <v>0</v>
      </c>
    </row>
    <row r="7" spans="1:3" x14ac:dyDescent="0.25">
      <c r="A7">
        <v>2014</v>
      </c>
      <c r="B7" t="s">
        <v>59</v>
      </c>
      <c r="C7">
        <v>4290</v>
      </c>
    </row>
    <row r="8" spans="1:3" x14ac:dyDescent="0.25">
      <c r="A8">
        <v>2014</v>
      </c>
      <c r="B8" t="s">
        <v>60</v>
      </c>
      <c r="C8">
        <v>0</v>
      </c>
    </row>
    <row r="9" spans="1:3" x14ac:dyDescent="0.25">
      <c r="A9">
        <v>2015</v>
      </c>
      <c r="B9" t="s">
        <v>74</v>
      </c>
      <c r="C9">
        <v>5400</v>
      </c>
    </row>
    <row r="10" spans="1:3" x14ac:dyDescent="0.25">
      <c r="A10">
        <v>2015</v>
      </c>
      <c r="B10" t="s">
        <v>75</v>
      </c>
      <c r="C10">
        <v>4300</v>
      </c>
    </row>
    <row r="11" spans="1:3" x14ac:dyDescent="0.25">
      <c r="A11">
        <v>2015</v>
      </c>
      <c r="B11" t="s">
        <v>76</v>
      </c>
      <c r="C11">
        <v>5170</v>
      </c>
    </row>
    <row r="12" spans="1:3" x14ac:dyDescent="0.25">
      <c r="A12">
        <v>2015</v>
      </c>
      <c r="B12" t="s">
        <v>77</v>
      </c>
      <c r="C12">
        <v>5720</v>
      </c>
    </row>
    <row r="13" spans="1:3" x14ac:dyDescent="0.25">
      <c r="A13">
        <v>2015</v>
      </c>
      <c r="B13" t="s">
        <v>78</v>
      </c>
      <c r="C13">
        <v>1500</v>
      </c>
    </row>
    <row r="14" spans="1:3" x14ac:dyDescent="0.25">
      <c r="A14">
        <v>2015</v>
      </c>
      <c r="B14" t="s">
        <v>20</v>
      </c>
      <c r="C14">
        <v>6770</v>
      </c>
    </row>
    <row r="15" spans="1:3" x14ac:dyDescent="0.25">
      <c r="A15">
        <v>2015</v>
      </c>
      <c r="B15" t="s">
        <v>21</v>
      </c>
      <c r="C15">
        <v>3940</v>
      </c>
    </row>
    <row r="16" spans="1:3" x14ac:dyDescent="0.25">
      <c r="A16">
        <v>2015</v>
      </c>
      <c r="B16" t="s">
        <v>22</v>
      </c>
      <c r="C16">
        <v>4515</v>
      </c>
    </row>
    <row r="17" spans="1:3" x14ac:dyDescent="0.25">
      <c r="A17">
        <v>2015</v>
      </c>
      <c r="B17" t="s">
        <v>23</v>
      </c>
      <c r="C17">
        <v>2050</v>
      </c>
    </row>
    <row r="18" spans="1:3" x14ac:dyDescent="0.25">
      <c r="A18">
        <v>2015</v>
      </c>
      <c r="B18" t="s">
        <v>58</v>
      </c>
      <c r="C18">
        <v>11910</v>
      </c>
    </row>
    <row r="19" spans="1:3" x14ac:dyDescent="0.25">
      <c r="A19">
        <v>2015</v>
      </c>
      <c r="B19" t="s">
        <v>59</v>
      </c>
      <c r="C19">
        <v>5570</v>
      </c>
    </row>
    <row r="20" spans="1:3" x14ac:dyDescent="0.25">
      <c r="A20">
        <v>2015</v>
      </c>
      <c r="B20" t="s">
        <v>60</v>
      </c>
      <c r="C20">
        <v>6990</v>
      </c>
    </row>
    <row r="21" spans="1:3" x14ac:dyDescent="0.25">
      <c r="A21">
        <v>2016</v>
      </c>
      <c r="B21" t="s">
        <v>74</v>
      </c>
      <c r="C21">
        <v>10980</v>
      </c>
    </row>
    <row r="22" spans="1:3" x14ac:dyDescent="0.25">
      <c r="A22">
        <v>2016</v>
      </c>
      <c r="B22" t="s">
        <v>75</v>
      </c>
      <c r="C22">
        <v>4900</v>
      </c>
    </row>
    <row r="23" spans="1:3" x14ac:dyDescent="0.25">
      <c r="A23">
        <v>2016</v>
      </c>
      <c r="B23" t="s">
        <v>76</v>
      </c>
      <c r="C23">
        <v>3860</v>
      </c>
    </row>
    <row r="24" spans="1:3" x14ac:dyDescent="0.25">
      <c r="A24">
        <v>2016</v>
      </c>
      <c r="B24" t="s">
        <v>77</v>
      </c>
      <c r="C24">
        <v>4410</v>
      </c>
    </row>
    <row r="25" spans="1:3" x14ac:dyDescent="0.25">
      <c r="A25">
        <v>2016</v>
      </c>
      <c r="B25" t="s">
        <v>78</v>
      </c>
      <c r="C25">
        <v>2720</v>
      </c>
    </row>
    <row r="26" spans="1:3" x14ac:dyDescent="0.25">
      <c r="A26">
        <v>2016</v>
      </c>
      <c r="B26" t="s">
        <v>20</v>
      </c>
      <c r="C26">
        <v>3200</v>
      </c>
    </row>
    <row r="27" spans="1:3" x14ac:dyDescent="0.25">
      <c r="A27">
        <v>2016</v>
      </c>
      <c r="B27" t="s">
        <v>21</v>
      </c>
      <c r="C27">
        <v>14800</v>
      </c>
    </row>
    <row r="28" spans="1:3" x14ac:dyDescent="0.25">
      <c r="A28">
        <v>2016</v>
      </c>
      <c r="B28" t="s">
        <v>22</v>
      </c>
      <c r="C28">
        <v>9860</v>
      </c>
    </row>
    <row r="29" spans="1:3" x14ac:dyDescent="0.25">
      <c r="A29">
        <v>2016</v>
      </c>
      <c r="B29" t="s">
        <v>23</v>
      </c>
      <c r="C29">
        <v>7695</v>
      </c>
    </row>
    <row r="30" spans="1:3" x14ac:dyDescent="0.25">
      <c r="A30">
        <v>2016</v>
      </c>
      <c r="B30" t="s">
        <v>58</v>
      </c>
      <c r="C30">
        <v>3050</v>
      </c>
    </row>
    <row r="31" spans="1:3" x14ac:dyDescent="0.25">
      <c r="A31">
        <v>2016</v>
      </c>
      <c r="B31" t="s">
        <v>59</v>
      </c>
      <c r="C31">
        <v>17922</v>
      </c>
    </row>
    <row r="32" spans="1:3" x14ac:dyDescent="0.25">
      <c r="A32">
        <v>2016</v>
      </c>
      <c r="B32" t="s">
        <v>60</v>
      </c>
      <c r="C32">
        <v>3080</v>
      </c>
    </row>
    <row r="33" spans="1:3" x14ac:dyDescent="0.25">
      <c r="A33">
        <v>2017</v>
      </c>
      <c r="B33" t="s">
        <v>74</v>
      </c>
      <c r="C33">
        <v>13810</v>
      </c>
    </row>
    <row r="34" spans="1:3" x14ac:dyDescent="0.25">
      <c r="A34">
        <v>2017</v>
      </c>
      <c r="B34" t="s">
        <v>75</v>
      </c>
      <c r="C34">
        <v>7750</v>
      </c>
    </row>
    <row r="35" spans="1:3" x14ac:dyDescent="0.25">
      <c r="A35">
        <v>2017</v>
      </c>
      <c r="B35" t="s">
        <v>76</v>
      </c>
      <c r="C35">
        <v>8790</v>
      </c>
    </row>
    <row r="36" spans="1:3" x14ac:dyDescent="0.25">
      <c r="A36">
        <v>2017</v>
      </c>
      <c r="B36" t="s">
        <v>77</v>
      </c>
      <c r="C36">
        <v>7850</v>
      </c>
    </row>
    <row r="37" spans="1:3" x14ac:dyDescent="0.25">
      <c r="A37">
        <v>2017</v>
      </c>
      <c r="B37" t="s">
        <v>78</v>
      </c>
      <c r="C37">
        <v>9160</v>
      </c>
    </row>
    <row r="38" spans="1:3" x14ac:dyDescent="0.25">
      <c r="A38">
        <v>2017</v>
      </c>
      <c r="B38" t="s">
        <v>20</v>
      </c>
      <c r="C38">
        <v>9220</v>
      </c>
    </row>
    <row r="39" spans="1:3" x14ac:dyDescent="0.25">
      <c r="A39">
        <v>2017</v>
      </c>
      <c r="B39" t="s">
        <v>21</v>
      </c>
      <c r="C39">
        <v>3861</v>
      </c>
    </row>
    <row r="40" spans="1:3" x14ac:dyDescent="0.25">
      <c r="A40">
        <v>2017</v>
      </c>
      <c r="B40" t="s">
        <v>22</v>
      </c>
      <c r="C40">
        <v>3000</v>
      </c>
    </row>
    <row r="41" spans="1:3" x14ac:dyDescent="0.25">
      <c r="A41">
        <v>2017</v>
      </c>
      <c r="B41" t="s">
        <v>23</v>
      </c>
      <c r="C41">
        <v>3000</v>
      </c>
    </row>
    <row r="42" spans="1:3" x14ac:dyDescent="0.25">
      <c r="A42">
        <v>2017</v>
      </c>
      <c r="B42" t="s">
        <v>58</v>
      </c>
      <c r="C42">
        <v>26225</v>
      </c>
    </row>
    <row r="43" spans="1:3" x14ac:dyDescent="0.25">
      <c r="A43">
        <v>2017</v>
      </c>
      <c r="B43" t="s">
        <v>59</v>
      </c>
      <c r="C43">
        <v>9840</v>
      </c>
    </row>
    <row r="44" spans="1:3" x14ac:dyDescent="0.25">
      <c r="A44">
        <v>2017</v>
      </c>
      <c r="B44" t="s">
        <v>60</v>
      </c>
      <c r="C44">
        <v>6771</v>
      </c>
    </row>
    <row r="45" spans="1:3" x14ac:dyDescent="0.25">
      <c r="A45">
        <v>2018</v>
      </c>
      <c r="B45" t="s">
        <v>74</v>
      </c>
      <c r="C45">
        <v>3784</v>
      </c>
    </row>
    <row r="46" spans="1:3" x14ac:dyDescent="0.25">
      <c r="A46">
        <v>2018</v>
      </c>
      <c r="B46" t="s">
        <v>75</v>
      </c>
      <c r="C46">
        <v>4500</v>
      </c>
    </row>
    <row r="47" spans="1:3" x14ac:dyDescent="0.25">
      <c r="A47">
        <v>2018</v>
      </c>
      <c r="B47" t="s">
        <v>76</v>
      </c>
      <c r="C47">
        <v>10600</v>
      </c>
    </row>
    <row r="48" spans="1:3" x14ac:dyDescent="0.25">
      <c r="A48">
        <v>2018</v>
      </c>
      <c r="B48" t="s">
        <v>77</v>
      </c>
      <c r="C48">
        <v>7628</v>
      </c>
    </row>
    <row r="49" spans="1:6" x14ac:dyDescent="0.25">
      <c r="A49">
        <v>2018</v>
      </c>
      <c r="B49" t="s">
        <v>78</v>
      </c>
      <c r="C49">
        <v>3624</v>
      </c>
    </row>
    <row r="50" spans="1:6" x14ac:dyDescent="0.25">
      <c r="A50">
        <v>2018</v>
      </c>
      <c r="B50" t="s">
        <v>20</v>
      </c>
      <c r="C50">
        <v>0</v>
      </c>
    </row>
    <row r="51" spans="1:6" x14ac:dyDescent="0.25">
      <c r="A51">
        <v>2018</v>
      </c>
      <c r="B51" t="s">
        <v>21</v>
      </c>
      <c r="C51">
        <v>2920</v>
      </c>
    </row>
    <row r="52" spans="1:6" x14ac:dyDescent="0.25">
      <c r="A52">
        <v>2018</v>
      </c>
      <c r="B52" t="s">
        <v>22</v>
      </c>
      <c r="C52">
        <v>30760</v>
      </c>
    </row>
    <row r="53" spans="1:6" x14ac:dyDescent="0.25">
      <c r="A53">
        <v>2018</v>
      </c>
      <c r="B53" t="s">
        <v>23</v>
      </c>
      <c r="C53">
        <v>3352</v>
      </c>
    </row>
    <row r="54" spans="1:6" x14ac:dyDescent="0.25">
      <c r="A54">
        <v>2018</v>
      </c>
      <c r="B54" t="s">
        <v>58</v>
      </c>
      <c r="C54">
        <v>2500</v>
      </c>
    </row>
    <row r="55" spans="1:6" x14ac:dyDescent="0.25">
      <c r="A55">
        <v>2018</v>
      </c>
      <c r="B55" t="s">
        <v>59</v>
      </c>
      <c r="C55">
        <v>5212</v>
      </c>
    </row>
    <row r="56" spans="1:6" x14ac:dyDescent="0.25">
      <c r="A56">
        <v>2018</v>
      </c>
      <c r="B56" t="s">
        <v>60</v>
      </c>
      <c r="C56">
        <v>5200</v>
      </c>
    </row>
    <row r="57" spans="1:6" x14ac:dyDescent="0.25">
      <c r="A57">
        <v>2019</v>
      </c>
      <c r="B57" t="s">
        <v>74</v>
      </c>
      <c r="C57">
        <v>18100</v>
      </c>
    </row>
    <row r="58" spans="1:6" x14ac:dyDescent="0.25">
      <c r="A58">
        <v>2019</v>
      </c>
      <c r="B58" t="s">
        <v>75</v>
      </c>
      <c r="C58">
        <v>9294</v>
      </c>
    </row>
    <row r="59" spans="1:6" x14ac:dyDescent="0.25">
      <c r="A59">
        <v>2019</v>
      </c>
      <c r="B59" t="s">
        <v>76</v>
      </c>
      <c r="C59">
        <v>4734</v>
      </c>
    </row>
    <row r="60" spans="1:6" x14ac:dyDescent="0.25">
      <c r="A60">
        <v>2019</v>
      </c>
      <c r="B60" t="s">
        <v>77</v>
      </c>
      <c r="C60">
        <v>6555</v>
      </c>
      <c r="E60" s="10"/>
      <c r="F60" s="10" t="s">
        <v>88</v>
      </c>
    </row>
    <row r="61" spans="1:6" x14ac:dyDescent="0.25">
      <c r="A61">
        <v>2019</v>
      </c>
      <c r="B61" t="s">
        <v>78</v>
      </c>
      <c r="C61">
        <v>7736</v>
      </c>
      <c r="E61" s="10" t="s">
        <v>89</v>
      </c>
      <c r="F61" s="10">
        <v>438244</v>
      </c>
    </row>
    <row r="62" spans="1:6" x14ac:dyDescent="0.25">
      <c r="A62">
        <v>2019</v>
      </c>
      <c r="B62" t="s">
        <v>20</v>
      </c>
      <c r="C62">
        <v>2500</v>
      </c>
      <c r="E62" s="10" t="s">
        <v>90</v>
      </c>
      <c r="F62" s="10">
        <v>457462</v>
      </c>
    </row>
    <row r="63" spans="1:6" x14ac:dyDescent="0.25">
      <c r="B63" s="6" t="s">
        <v>51</v>
      </c>
      <c r="C63" s="6">
        <v>411868</v>
      </c>
      <c r="E63" s="12" t="s">
        <v>6</v>
      </c>
      <c r="F63" s="12">
        <v>-19218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Old</vt:lpstr>
      <vt:lpstr>Final</vt:lpstr>
      <vt:lpstr>DATA</vt:lpstr>
      <vt:lpstr>Cash_Paid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Parijat Patil     /EXT//ICICILOMBARD/MUM</dc:creator>
  <cp:lastModifiedBy>Parijat Patil     /EXT//ICICILOMBARD/MUM</cp:lastModifiedBy>
  <dcterms:created xsi:type="dcterms:W3CDTF">2019-08-20T06:02:27Z</dcterms:created>
  <dcterms:modified xsi:type="dcterms:W3CDTF">2019-10-13T08:19:41Z</dcterms:modified>
</cp:coreProperties>
</file>